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 kartochkasi" sheetId="1" state="visible" r:id="rId3"/>
    <sheet name="Modullar" sheetId="2" state="visible" r:id="rId4"/>
    <sheet name="Darslar" sheetId="3" state="visible" r:id="rId5"/>
    <sheet name="Savollar bazasi" sheetId="4" state="visible" r:id="rId6"/>
    <sheet name="Platformaga kiritish" sheetId="5" state="visible" r:id="rId7"/>
  </sheets>
  <definedNames>
    <definedName function="false" hidden="true" localSheetId="2" name="_xlnm._FilterDatabase" vbProcedure="false">Darslar!$A$1:$L$37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Avtomatik: «Darslar» varag'idagi «Yo'nalish» ustunidan hisoblanadi.</t>
        </r>
      </text>
    </comment>
  </commentList>
</comments>
</file>

<file path=xl/sharedStrings.xml><?xml version="1.0" encoding="utf-8"?>
<sst xmlns="http://schemas.openxmlformats.org/spreadsheetml/2006/main" count="508" uniqueCount="230">
  <si>
    <t xml:space="preserve">General English: A2 → B1 — kurs kartochkasi</t>
  </si>
  <si>
    <t xml:space="preserve">Kurs nomi</t>
  </si>
  <si>
    <t xml:space="preserve">General English: A2 → B1</t>
  </si>
  <si>
    <t xml:space="preserve">Qisqa tavsif (sayt uchun)</t>
  </si>
  <si>
    <t xml:space="preserve">Umumiy ingliz tili: A2 (Elementary) darajasidan B1 (Intermediate) darajasigacha. 6 ta modul, 36 ta dars, 3 ta yakuniy mock test. Grammatika o'zbek tilida tushuntiriladi, har darsda lug'at, talaffuz va amaliy ko'nikma (reading, listening, writing yoki speaking).</t>
  </si>
  <si>
    <t xml:space="preserve">Davomiyligi</t>
  </si>
  <si>
    <t xml:space="preserve">12 hafta, haftasiga 3 ta dars (36 dars)</t>
  </si>
  <si>
    <t xml:space="preserve">Kimlar uchun</t>
  </si>
  <si>
    <t xml:space="preserve">Ingliz tilini asosiy darajada biladigan (A2) o'quvchilar, maktab o'quvchilari va kattalar; IELTS / CEFR / SAT ga tayyorlanishdan oldingi bosqich</t>
  </si>
  <si>
    <t xml:space="preserve">Natija</t>
  </si>
  <si>
    <t xml:space="preserve">Kirish va chiqish testlari solishtiriladi; kurs 100% tugatilganda sertifikat. Eslatma: B1 ga to'liq yetish uchun darslardan tashqari muntazam mashq (kuniga 20–30 daqiqa) kerak.</t>
  </si>
  <si>
    <t xml:space="preserve">Daraja va format</t>
  </si>
  <si>
    <t xml:space="preserve">CEFR A2 → B1. Har bir dars: video (10–15 min) + konspekt + dars testi. Modul oxirida 30 savollik modul testi. Mock: 60 savol (Grammar &amp; Vocabulary 30, Reading 15, Listening 15), 70 min + Writing (120–150 so'z).</t>
  </si>
  <si>
    <t xml:space="preserve">Yo'nalishlar ulushi</t>
  </si>
  <si>
    <t xml:space="preserve">Manba</t>
  </si>
  <si>
    <t xml:space="preserve">Council of Europe — CEFR Companion Volume (2020), coe.int/lang-cefr; grammatika tartibi: British Council &amp; EAQUALS, Core Inventory for General English (2010)</t>
  </si>
  <si>
    <t xml:space="preserve">Modul</t>
  </si>
  <si>
    <t xml:space="preserve">Modul nomi</t>
  </si>
  <si>
    <t xml:space="preserve">CEFR daraja</t>
  </si>
  <si>
    <t xml:space="preserve">Darslar soni</t>
  </si>
  <si>
    <t xml:space="preserve">Haftalar</t>
  </si>
  <si>
    <t xml:space="preserve">Modul oxirida</t>
  </si>
  <si>
    <t xml:space="preserve">M0</t>
  </si>
  <si>
    <t xml:space="preserve">Kirish: darajani aniqlash va o'rganish usuli</t>
  </si>
  <si>
    <t xml:space="preserve">—</t>
  </si>
  <si>
    <t xml:space="preserve">Diagnostik test</t>
  </si>
  <si>
    <t xml:space="preserve">M1</t>
  </si>
  <si>
    <t xml:space="preserve">People &amp; Daily Life (odamlar va kundalik hayot)</t>
  </si>
  <si>
    <t xml:space="preserve">A2</t>
  </si>
  <si>
    <t xml:space="preserve">Modul testi (30 savol)</t>
  </si>
  <si>
    <t xml:space="preserve">M2</t>
  </si>
  <si>
    <t xml:space="preserve">Past &amp; Experiences (o'tmish va tajriba)</t>
  </si>
  <si>
    <t xml:space="preserve">A2+</t>
  </si>
  <si>
    <t xml:space="preserve">M3</t>
  </si>
  <si>
    <t xml:space="preserve">Future, Plans &amp; Work (kelajak, rejalar, ish)</t>
  </si>
  <si>
    <t xml:space="preserve">B1−</t>
  </si>
  <si>
    <t xml:space="preserve">M4</t>
  </si>
  <si>
    <t xml:space="preserve">Rules, Advice &amp; Conditions (qoidalar, maslahat, shartlar)</t>
  </si>
  <si>
    <t xml:space="preserve">B1</t>
  </si>
  <si>
    <t xml:space="preserve">M5</t>
  </si>
  <si>
    <t xml:space="preserve">Takrorlash va yakuniy testlar</t>
  </si>
  <si>
    <t xml:space="preserve">Mock testlar</t>
  </si>
  <si>
    <t xml:space="preserve">Jami</t>
  </si>
  <si>
    <t xml:space="preserve">Dars №</t>
  </si>
  <si>
    <t xml:space="preserve">Hafta</t>
  </si>
  <si>
    <t xml:space="preserve">Dars nomi (sayt uchun)</t>
  </si>
  <si>
    <t xml:space="preserve">Savollar bazasidagi mavzu</t>
  </si>
  <si>
    <t xml:space="preserve">Yo'nalish</t>
  </si>
  <si>
    <t xml:space="preserve">Inglizcha kalit so'zlar</t>
  </si>
  <si>
    <t xml:space="preserve">Darsda nima o'rgatiladi</t>
  </si>
  <si>
    <t xml:space="preserve">CEFR</t>
  </si>
  <si>
    <t xml:space="preserve">Video</t>
  </si>
  <si>
    <t xml:space="preserve">Mashq (platforma)</t>
  </si>
  <si>
    <t xml:space="preserve">Dars testi</t>
  </si>
  <si>
    <t xml:space="preserve">Kursga kirish va darajani aniqlash testi</t>
  </si>
  <si>
    <t xml:space="preserve">English — Diagnostika</t>
  </si>
  <si>
    <t xml:space="preserve">Kirish / Takrorlash</t>
  </si>
  <si>
    <t xml:space="preserve">level, placement test, CEFR, skill, grammar, vocabulary</t>
  </si>
  <si>
    <t xml:space="preserve">CEFR darajalari (A1–C2) va 4 ko'nikma; diagnostik test; natijadan shaxsiy o'rganish rejasi</t>
  </si>
  <si>
    <t xml:space="preserve">A2–B1</t>
  </si>
  <si>
    <t xml:space="preserve">10–15 min</t>
  </si>
  <si>
    <t xml:space="preserve">Xatolar ustida ishlash</t>
  </si>
  <si>
    <t xml:space="preserve">Diagnostik: 40 savol, 30 min</t>
  </si>
  <si>
    <t xml:space="preserve">Qanday o'rganamiz: lug'at daftari, talaffuz va takrorlash</t>
  </si>
  <si>
    <t xml:space="preserve">vocabulary notebook, collocation, word stress, phonetic symbols, review</t>
  </si>
  <si>
    <t xml:space="preserve">So'zni kollokatsiya va misol bilan yozish, IPA belgilari asoslari, interval takrorlash tizimi</t>
  </si>
  <si>
    <t xml:space="preserve">10 savol, 15 min</t>
  </si>
  <si>
    <t xml:space="preserve">Present Simple: kundalik hayot va odatlar</t>
  </si>
  <si>
    <t xml:space="preserve">Present Simple</t>
  </si>
  <si>
    <t xml:space="preserve">Grammar</t>
  </si>
  <si>
    <t xml:space="preserve">always, usually, often, sometimes, never, every day, does / doesn't</t>
  </si>
  <si>
    <t xml:space="preserve">Tasdiq, inkor, so'roq; 3-shaxs -s; chastota ravishlarining gapdagi o'rni</t>
  </si>
  <si>
    <t xml:space="preserve">Present Continuous va Present Simple farqi</t>
  </si>
  <si>
    <t xml:space="preserve">Present Continuous</t>
  </si>
  <si>
    <t xml:space="preserve">now, at the moment, currently, these days, state verbs (like, know, want)</t>
  </si>
  <si>
    <t xml:space="preserve">Hozirgi jarayon va odat; holat fe'llari Continuous'da ishlatilmasligi</t>
  </si>
  <si>
    <t xml:space="preserve">Lug'at: oila, tashqi ko'rinish va xarakter</t>
  </si>
  <si>
    <t xml:space="preserve">Vocabulary — People and family</t>
  </si>
  <si>
    <t xml:space="preserve">Vocabulary</t>
  </si>
  <si>
    <t xml:space="preserve">relatives, tall, curly hair, friendly, generous, look like, be like</t>
  </si>
  <si>
    <t xml:space="preserve">Odamni tasvirlash; «What does she look like?» va «What is she like?» farqi</t>
  </si>
  <si>
    <t xml:space="preserve">Savol tuzish: so'roq so'zlar va yordamchi fe'llar</t>
  </si>
  <si>
    <t xml:space="preserve">Questions and question words</t>
  </si>
  <si>
    <t xml:space="preserve">who, what, where, how often, how long, subject questions</t>
  </si>
  <si>
    <t xml:space="preserve">Savol so'z tartibi (QASI), subject va object savollar, qisqa javoblar</t>
  </si>
  <si>
    <t xml:space="preserve">Otlar, artikllar va miqdor so'zlari</t>
  </si>
  <si>
    <t xml:space="preserve">Articles and quantifiers</t>
  </si>
  <si>
    <t xml:space="preserve">a / an, the, zero article, some, any, much, many, a lot of, countable</t>
  </si>
  <si>
    <t xml:space="preserve">Sanaladigan / sanalmaydigan otlar; a/an/the qoidalari; some/any, much/many</t>
  </si>
  <si>
    <t xml:space="preserve">Reading: qisqa matndan asosiy fikr va detallarni topish</t>
  </si>
  <si>
    <t xml:space="preserve">Reading — Main idea and details</t>
  </si>
  <si>
    <t xml:space="preserve">Reading &amp; Listening</t>
  </si>
  <si>
    <t xml:space="preserve">skim, scan, main idea, detail, true / false / not given</t>
  </si>
  <si>
    <t xml:space="preserve">Skimming va scanning; asosiy fikr va detalni farqlash; True / False / Not Given</t>
  </si>
  <si>
    <t xml:space="preserve">Speaking: o'zini tanishtirish va small talk</t>
  </si>
  <si>
    <t xml:space="preserve">Functional language — Introductions</t>
  </si>
  <si>
    <t xml:space="preserve">Writing &amp; Speaking</t>
  </si>
  <si>
    <t xml:space="preserve">Nice to meet you, What do you do?, How about you?, follow-up question</t>
  </si>
  <si>
    <t xml:space="preserve">Tanishuv iboralari, suhbatni davom ettirish uchun qo'shimcha savollar, intonatsiya</t>
  </si>
  <si>
    <t xml:space="preserve">Audio javob (o'qituvchi tekshiradi)</t>
  </si>
  <si>
    <t xml:space="preserve">10 savol + 1 daqiqalik audio javob</t>
  </si>
  <si>
    <t xml:space="preserve">Writing: do'stga email + M1 modul testi</t>
  </si>
  <si>
    <t xml:space="preserve">Writing — Informal email</t>
  </si>
  <si>
    <t xml:space="preserve">Hi …, Thanks for …, Guess what!, Hope to hear from you, and / but / because / so</t>
  </si>
  <si>
    <t xml:space="preserve">Norasmiy email tuzilmasi va bog'lovchilar; modul testi</t>
  </si>
  <si>
    <t xml:space="preserve">Yozma ish (o'qituvchi tekshiradi)</t>
  </si>
  <si>
    <t xml:space="preserve">10 savol + yozma ish (80–120 so'z)</t>
  </si>
  <si>
    <t xml:space="preserve">Past Simple: to'g'ri va noto'g'ri fe'llar</t>
  </si>
  <si>
    <t xml:space="preserve">Past Simple</t>
  </si>
  <si>
    <t xml:space="preserve">yesterday, last week, ago, -ed, went, saw, did / didn't</t>
  </si>
  <si>
    <t xml:space="preserve">-ed talaffuzi (/t/ /d/ /ɪd/), 50 ta asosiy noto'g'ri fe'l, inkor va so'roq</t>
  </si>
  <si>
    <t xml:space="preserve">Past Continuous va Past Simple: voqeani hikoya qilish</t>
  </si>
  <si>
    <t xml:space="preserve">Past Continuous</t>
  </si>
  <si>
    <t xml:space="preserve">while, when, was / were + -ing, suddenly, at that moment</t>
  </si>
  <si>
    <t xml:space="preserve">Fon jarayoni va to'satdan yuz bergan voqea; when / while bilan gaplar</t>
  </si>
  <si>
    <t xml:space="preserve">Used to va would: o'tmishdagi odatlar</t>
  </si>
  <si>
    <t xml:space="preserve">Used to</t>
  </si>
  <si>
    <t xml:space="preserve">used to, didn't use to, would, any more, no longer</t>
  </si>
  <si>
    <t xml:space="preserve">O'tmishdagi odat va holat; used to va would farqi; be used to bilan adashtirmaslik</t>
  </si>
  <si>
    <t xml:space="preserve">Present Perfect: tajriba (ever, never, just, already, yet)</t>
  </si>
  <si>
    <t xml:space="preserve">Present Perfect</t>
  </si>
  <si>
    <t xml:space="preserve">ever, never, just, already, yet, been / gone</t>
  </si>
  <si>
    <t xml:space="preserve">Hayotiy tajriba va yangi natija; III shakl; been va gone farqi</t>
  </si>
  <si>
    <t xml:space="preserve">Present Perfect yoki Past Simple? (for, since)</t>
  </si>
  <si>
    <t xml:space="preserve">Present Perfect vs Past Simple</t>
  </si>
  <si>
    <t xml:space="preserve">for, since, how long, last year, ago, so far</t>
  </si>
  <si>
    <t xml:space="preserve">Aniq o'tgan vaqt — Past Simple; hozirgacha davom — Present Perfect; for va since</t>
  </si>
  <si>
    <t xml:space="preserve">Lug'at: sayohat, transport va dam olish</t>
  </si>
  <si>
    <t xml:space="preserve">Vocabulary — Travel and holidays</t>
  </si>
  <si>
    <t xml:space="preserve">book a ticket, check in, journey / trip / travel, sightseeing, delay, souvenir</t>
  </si>
  <si>
    <t xml:space="preserve">Sayohat kollokatsiyalari; journey, trip, travel farqi; aeroport va mehmonxona iboralari</t>
  </si>
  <si>
    <t xml:space="preserve">Listening: e'lon va suhbatdan aniq ma'lumot olish</t>
  </si>
  <si>
    <t xml:space="preserve">Listening — Specific information</t>
  </si>
  <si>
    <t xml:space="preserve">predict, key words, numbers and dates, spelling, distractor</t>
  </si>
  <si>
    <t xml:space="preserve">Tinglashdan oldin bashorat qilish, raqam va sanalarni eshitish, chalg'ituvchi javoblar</t>
  </si>
  <si>
    <t xml:space="preserve">Writing: hikoya yozish + M2 modul testi</t>
  </si>
  <si>
    <t xml:space="preserve">Writing — Narrative</t>
  </si>
  <si>
    <t xml:space="preserve">first, then, after that, suddenly, finally, in the end</t>
  </si>
  <si>
    <t xml:space="preserve">Hikoya tuzilmasi (boshlanish, voqea, yakun), vaqt bog'lovchilari, o'tgan zamonlar; modul testi</t>
  </si>
  <si>
    <t xml:space="preserve">Kelasi zamon: will, be going to va Present Continuous</t>
  </si>
  <si>
    <t xml:space="preserve">Future forms</t>
  </si>
  <si>
    <t xml:space="preserve">will, be going to, I'm meeting …, prediction, plan, arrangement</t>
  </si>
  <si>
    <t xml:space="preserve">Bashorat, reja va kelishuvni farqlash; to'satdan qaror (will)</t>
  </si>
  <si>
    <t xml:space="preserve">Sifat darajalari: comparatives va superlatives</t>
  </si>
  <si>
    <t xml:space="preserve">Comparatives and superlatives</t>
  </si>
  <si>
    <t xml:space="preserve">-er than, more … than, the -est, as … as, much / a bit, not as … as</t>
  </si>
  <si>
    <t xml:space="preserve">Qiyosiy va orttirma daraja, noto'g'ri shakllar (good / better / best), as … as</t>
  </si>
  <si>
    <t xml:space="preserve">Modal fe'llar: can, could, be able to</t>
  </si>
  <si>
    <t xml:space="preserve">Modals of ability</t>
  </si>
  <si>
    <t xml:space="preserve">can, could, be able to, manage to, will be able to</t>
  </si>
  <si>
    <t xml:space="preserve">Hozirgi, o'tgan va kelasi qobiliyat; could va was able to farqi</t>
  </si>
  <si>
    <t xml:space="preserve">Lug'at: ish, kasb va ta'lim</t>
  </si>
  <si>
    <t xml:space="preserve">Vocabulary — Work and study</t>
  </si>
  <si>
    <t xml:space="preserve">apply for, job interview, salary, career, degree, take / pass an exam</t>
  </si>
  <si>
    <t xml:space="preserve">Ish va o'qishga oid kollokatsiyalar; make / do / take bilan iboralar</t>
  </si>
  <si>
    <t xml:space="preserve">Fe'l + -ing yoki to-infinitive</t>
  </si>
  <si>
    <t xml:space="preserve">Gerunds and infinitives</t>
  </si>
  <si>
    <t xml:space="preserve">enjoy -ing, want to, decide to, avoid -ing, stop to / stop -ing</t>
  </si>
  <si>
    <t xml:space="preserve">Qaysi fe'ldan keyin -ing, qaysidan keyin to + fe'l; ma'no o'zgaradigan fe'llar</t>
  </si>
  <si>
    <t xml:space="preserve">Reading: muallif fikri va so'z ma'nosini kontekstdan topish</t>
  </si>
  <si>
    <t xml:space="preserve">Reading — Inference and vocabulary in context</t>
  </si>
  <si>
    <t xml:space="preserve">infer, imply, opinion, fact, synonym, context clue</t>
  </si>
  <si>
    <t xml:space="preserve">Matnda yashirin fikrni topish, fakt va fikrni ajratish, notanish so'zni kontekstdan aniqlash</t>
  </si>
  <si>
    <t xml:space="preserve">Speaking: rejalar, taklif va kelishish</t>
  </si>
  <si>
    <t xml:space="preserve">Functional language — Suggestions and arrangements</t>
  </si>
  <si>
    <t xml:space="preserve">Shall we …?, How about …?, Why don't we …?, I'd rather …, That sounds good</t>
  </si>
  <si>
    <t xml:space="preserve">Taklif berish, rozilik va muloyim rad etish, uchrashuv vaqtini kelishish</t>
  </si>
  <si>
    <t xml:space="preserve">Writing: rasmiy email va ariza + M3 modul testi</t>
  </si>
  <si>
    <t xml:space="preserve">Writing — Formal email</t>
  </si>
  <si>
    <t xml:space="preserve">Dear Sir or Madam, I am writing to enquire, I would be grateful, Yours faithfully</t>
  </si>
  <si>
    <t xml:space="preserve">Rasmiy va norasmiy uslub farqi, ish yoki kursga ariza; modul testi</t>
  </si>
  <si>
    <t xml:space="preserve">Majburiyat va maslahat: must, have to, should</t>
  </si>
  <si>
    <t xml:space="preserve">Modals of obligation and advice</t>
  </si>
  <si>
    <t xml:space="preserve">must, have to, don't have to, mustn't, should, ought to</t>
  </si>
  <si>
    <t xml:space="preserve">Majburiyat, taqiq va zarurat yo'qligi (mustn't ≠ don't have to); maslahat berish</t>
  </si>
  <si>
    <t xml:space="preserve">Zero va First Conditional</t>
  </si>
  <si>
    <t xml:space="preserve">Conditionals (zero and first)</t>
  </si>
  <si>
    <t xml:space="preserve">if, unless, when, as soon as, will, real situation</t>
  </si>
  <si>
    <t xml:space="preserve">Umumiy haqiqat va real kelajak sharti; if-gapda will ishlatilmasligi; unless</t>
  </si>
  <si>
    <t xml:space="preserve">Second Conditional: xayoliy vaziyatlar</t>
  </si>
  <si>
    <t xml:space="preserve">Second conditional</t>
  </si>
  <si>
    <t xml:space="preserve">If I were you, would, could, imaginary, wish</t>
  </si>
  <si>
    <t xml:space="preserve">Xayoliy hozirgi/kelajak; first va second conditional farqi; maslahat: If I were you …</t>
  </si>
  <si>
    <t xml:space="preserve">Passive Voice: Present va Past</t>
  </si>
  <si>
    <t xml:space="preserve">Passive voice</t>
  </si>
  <si>
    <t xml:space="preserve">is made, was built, by, active, passive, was invented</t>
  </si>
  <si>
    <t xml:space="preserve">Majhul nisbat qachon ishlatiladi; is/was + III shakl; by bilan bajaruvchi</t>
  </si>
  <si>
    <t xml:space="preserve">Lug'at: kundalik phrasal verbs</t>
  </si>
  <si>
    <t xml:space="preserve">Vocabulary — Phrasal verbs</t>
  </si>
  <si>
    <t xml:space="preserve">look for, give up, find out, turn on / off, get up, put off</t>
  </si>
  <si>
    <t xml:space="preserve">30 ta eng ko'p ishlatiladigan phrasal verb; ajraladigan va ajralmaydiganlar</t>
  </si>
  <si>
    <t xml:space="preserve">Relative clauses: who, which, that, where, whose</t>
  </si>
  <si>
    <t xml:space="preserve">Relative clauses</t>
  </si>
  <si>
    <t xml:space="preserve">who, which, that, where, whose, defining clause</t>
  </si>
  <si>
    <t xml:space="preserve">Odam, narsa va joyni aniqlovchi ergash gaplar; that qachon tushib qoladi</t>
  </si>
  <si>
    <t xml:space="preserve">Speaking: fikr bildirish va asoslash + M4 modul testi</t>
  </si>
  <si>
    <t xml:space="preserve">Functional language — Giving opinions</t>
  </si>
  <si>
    <t xml:space="preserve">In my opinion, I agree, I see your point, but …, because, for example</t>
  </si>
  <si>
    <t xml:space="preserve">Fikr bildirish, rozi bo'lish/bo'lmaslik, misol bilan asoslash; modul testi</t>
  </si>
  <si>
    <t xml:space="preserve">Reported speech va zamonlar xaritasi + Mock 1</t>
  </si>
  <si>
    <t xml:space="preserve">English — Mock testlar</t>
  </si>
  <si>
    <t xml:space="preserve">said, told, asked, reported speech, tense review, timeline</t>
  </si>
  <si>
    <t xml:space="preserve">Ko'chirma gap asoslari (said / told), 6 ta zamonni bitta xaritada takrorlash; to'liq mock test</t>
  </si>
  <si>
    <t xml:space="preserve">Mock: 60 savol, 70 min + Writing</t>
  </si>
  <si>
    <t xml:space="preserve">Imtihon strategiyasi: Reading va Listening + Mock 2</t>
  </si>
  <si>
    <t xml:space="preserve">time management, skim, key words, eliminate, guess, check</t>
  </si>
  <si>
    <t xml:space="preserve">Vaqtni taqsimlash, variantlarni chiqarib tashlash, javoblarni tekshirish; to'liq mock test</t>
  </si>
  <si>
    <t xml:space="preserve">Yakuniy Mock 3, Writing/Speaking baholash va natija tahlili</t>
  </si>
  <si>
    <t xml:space="preserve">score report, band, feedback, accuracy, fluency, progress</t>
  </si>
  <si>
    <t xml:space="preserve">Yakuniy mock, Writing va Speaking baholash mezonlari, diagnostika bilan solishtirish, sertifikat</t>
  </si>
  <si>
    <t xml:space="preserve">Mavzu (platformadagi nom — aynan shunday)</t>
  </si>
  <si>
    <t xml:space="preserve">Maqsad: savollar</t>
  </si>
  <si>
    <t xml:space="preserve">Yozilgan savollar</t>
  </si>
  <si>
    <t xml:space="preserve">Holat</t>
  </si>
  <si>
    <t xml:space="preserve">Sariq katakka yozilgan savollar sonini kiriting — «Holat» o'zi yangilanadi. Maqsad: Grammar mavzulariga 60 tadan, Vocabulary — 50, Reading &amp; Listening — 40, Writing &amp; Speaking — 30 (test qismi); diagnostika — 40; mock uchun 3 ta to'liq variant (3 × 60).</t>
  </si>
  <si>
    <t xml:space="preserve">Saytda kursni shu tartibda yarating</t>
  </si>
  <si>
    <t xml:space="preserve">1. Kurs: «General English: A2 → B1» (fan: Ingliz tili). Tavsifni «Kurs kartochkasi» varag'idan oling.</t>
  </si>
  <si>
    <t xml:space="preserve">2. Kurs ichida 6 ta modul (bo'lim) oching: M0 … M5 — nomlari «Modullar» varag'ida.</t>
  </si>
  <si>
    <t xml:space="preserve">3. Har bir modulga «Darslar» varag'idagi darslarni tartib raqami bo'yicha qo'shing (jami 36 ta). Dars nomi — «Dars nomi (sayt uchun)» ustuni.</t>
  </si>
  <si>
    <t xml:space="preserve">4. Har bir darsga: video (10–15 min) + konspekt (inglizcha kalit so'zlar va o'zbekcha tushuntirish bilan) + dars testi.</t>
  </si>
  <si>
    <t xml:space="preserve">5. Dars testini «Avtomatik tuzish» bilan yarating: mavzu — «Savollar bazasidagi mavzu» ustunidagi nom, 10 ta savol, qiyinlik 1–5 aralash.</t>
  </si>
  <si>
    <t xml:space="preserve">6. Writing va Speaking darslarida testga qo'shimcha topshiriq qo'shing: yozma ish (80–120 so'z) yoki 1 daqiqalik audio javob — o'qituvchi tekshiradi.</t>
  </si>
  <si>
    <t xml:space="preserve">7. Modul oxirida modul testi (30 savol, shu modul mavzularidan). M0 da diagnostik test (40 savol), M5 da 3 ta to'liq mock (60 savol, 70 min + Writing).</t>
  </si>
  <si>
    <t xml:space="preserve">8. Savollarni platforma namunasi (savollar-namuna.xlsx) bo'yicha yuklang: «Mavzu» ustuniga «Savollar bazasi» varag'idagi nomni aynan yozing — aks holda test avtomatik tuzilmaydi.</t>
  </si>
  <si>
    <t xml:space="preserve">Nega aynan shu tartib</t>
  </si>
  <si>
    <t xml:space="preserve">• Avval Present tenses va savol tuzish: kundalik muloqotning poydevori, keyingi barcha zamonlar shularga tayanadi.</t>
  </si>
  <si>
    <t xml:space="preserve">• Keyin o'tmish (Past Simple → Past Continuous → Present Perfect): hikoya qilish va tajriba haqida gapirish A2+ darajaning asosiy talabi.</t>
  </si>
  <si>
    <t xml:space="preserve">• Kelajak, modal fe'llar va shart gaplar B1 bosqichida: ular oldingi zamonlarni yaxshi bilishni talab qiladi (CEFR / Core Inventory ketma-ketligi).</t>
  </si>
  <si>
    <t xml:space="preserve">• Har modulda lug'at, reading/listening va writing/speaking darsi bor — grammatika darhol amaliy ko'nikmada qo'llanadi.</t>
  </si>
  <si>
    <t xml:space="preserve">• M5 — takrorlash va 3 ta mock: diagnostika bilan solishtirib, o'sish o'lchanadi.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</si>
</sst>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F46E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EEEEEE"/>
        <bgColor rgb="FFE8F1FA"/>
      </patternFill>
    </fill>
    <fill>
      <patternFill patternType="solid">
        <fgColor rgb="FFE8F1FA"/>
        <bgColor rgb="FFEEEEEE"/>
      </patternFill>
    </fill>
    <fill>
      <patternFill patternType="solid">
        <fgColor rgb="FFEDE7F6"/>
        <bgColor rgb="FFEEEEEE"/>
      </patternFill>
    </fill>
    <fill>
      <patternFill patternType="solid">
        <fgColor rgb="FFE6F4EA"/>
        <bgColor rgb="FFE8F1FA"/>
      </patternFill>
    </fill>
    <fill>
      <patternFill patternType="solid">
        <fgColor rgb="FFFFF4E0"/>
        <bgColor rgb="FFFFF9C4"/>
      </patternFill>
    </fill>
    <fill>
      <patternFill patternType="solid">
        <fgColor rgb="FFFFF9C4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F4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E8F1F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4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6F4EA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A"/>
      <rgbColor rgb="FFEEEEEE"/>
      <rgbColor rgb="FFFFF4E0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6.85" hidden="false" customHeight="false" outlineLevel="0" collapsed="false">
      <c r="A6" s="2" t="s">
        <v>7</v>
      </c>
      <c r="B6" s="3" t="s">
        <v>8</v>
      </c>
    </row>
    <row r="7" customFormat="false" ht="33" hidden="false" customHeight="true" outlineLevel="0" collapsed="false">
      <c r="A7" s="2" t="s">
        <v>9</v>
      </c>
      <c r="B7" s="3" t="s">
        <v>10</v>
      </c>
    </row>
    <row r="8" customFormat="false" ht="48" hidden="false" customHeight="true" outlineLevel="0" collapsed="false">
      <c r="A8" s="2" t="s">
        <v>11</v>
      </c>
      <c r="B8" s="3" t="s">
        <v>12</v>
      </c>
    </row>
    <row r="9" customFormat="false" ht="33" hidden="false" customHeight="true" outlineLevel="0" collapsed="false">
      <c r="A9" s="2" t="s">
        <v>13</v>
      </c>
      <c r="B9" s="3" t="str">
        <f aca="false">"Grammar "&amp;COUNTIF(Darslar!$F$2:$F$37,"Grammar")&amp;" dars"&amp;" · "&amp;"Vocabulary "&amp;COUNTIF(Darslar!$F$2:$F$37,"Vocabulary")&amp;" dars"&amp;" · "&amp;"Reading &amp; Listening "&amp;COUNTIF(Darslar!$F$2:$F$37,"Reading &amp; Listening")&amp;" dars"&amp;" · "&amp;"Writing &amp; Speaking "&amp;COUNTIF(Darslar!$F$2:$F$37,"Writing &amp; Speaking")&amp;" dars"&amp;" · "&amp;"Kirish / Takrorlash "&amp;COUNTIF(Darslar!$F$2:$F$37,"Kirish / Takrorlash")&amp;" dars"</f>
        <v>Grammar 18 dars · Vocabulary 4 dars · Reading &amp; Listening 3 dars · Writing &amp; Speaking 6 dars · Kirish / Takrorlash 5 dars</v>
      </c>
    </row>
    <row r="10" customFormat="false" ht="33" hidden="false" customHeight="true" outlineLevel="0" collapsed="false">
      <c r="A10" s="2" t="s">
        <v>14</v>
      </c>
      <c r="B1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26.2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customFormat="false" ht="15" hidden="false" customHeight="false" outlineLevel="0" collapsed="false">
      <c r="A2" s="5" t="s">
        <v>22</v>
      </c>
      <c r="B2" s="6" t="s">
        <v>23</v>
      </c>
      <c r="C2" s="5" t="s">
        <v>24</v>
      </c>
      <c r="D2" s="5" t="n">
        <f aca="false">COUNTIF(Darslar!$B$2:$B$37,A2)</f>
        <v>2</v>
      </c>
      <c r="E2" s="5" t="str">
        <f aca="false">IF(_xlfn.MINIFS(Darslar!$C$2:$C$37,Darslar!$B$2:$B$37,A2)=_xlfn.MAXIFS(Darslar!$C$2:$C$37,Darslar!$B$2:$B$37,A2),_xlfn.MINIFS(Darslar!$C$2:$C$37,Darslar!$B$2:$B$37,A2)&amp;"",_xlfn.MINIFS(Darslar!$C$2:$C$37,Darslar!$B$2:$B$37,A2)&amp;"–"&amp;_xlfn.MAXIFS(Darslar!$C$2:$C$37,Darslar!$B$2:$B$37,A2))</f>
        <v>1</v>
      </c>
      <c r="F2" s="6" t="s">
        <v>25</v>
      </c>
    </row>
    <row r="3" customFormat="false" ht="15" hidden="false" customHeight="false" outlineLevel="0" collapsed="false">
      <c r="A3" s="5" t="s">
        <v>26</v>
      </c>
      <c r="B3" s="6" t="s">
        <v>27</v>
      </c>
      <c r="C3" s="5" t="s">
        <v>28</v>
      </c>
      <c r="D3" s="5" t="n">
        <f aca="false">COUNTIF(Darslar!$B$2:$B$37,A3)</f>
        <v>8</v>
      </c>
      <c r="E3" s="5" t="str">
        <f aca="false">IF(_xlfn.MINIFS(Darslar!$C$2:$C$37,Darslar!$B$2:$B$37,A3)=_xlfn.MAXIFS(Darslar!$C$2:$C$37,Darslar!$B$2:$B$37,A3),_xlfn.MINIFS(Darslar!$C$2:$C$37,Darslar!$B$2:$B$37,A3)&amp;"",_xlfn.MINIFS(Darslar!$C$2:$C$37,Darslar!$B$2:$B$37,A3)&amp;"–"&amp;_xlfn.MAXIFS(Darslar!$C$2:$C$37,Darslar!$B$2:$B$37,A3))</f>
        <v>1–4</v>
      </c>
      <c r="F3" s="6" t="s">
        <v>29</v>
      </c>
    </row>
    <row r="4" customFormat="false" ht="15" hidden="false" customHeight="false" outlineLevel="0" collapsed="false">
      <c r="A4" s="5" t="s">
        <v>30</v>
      </c>
      <c r="B4" s="6" t="s">
        <v>31</v>
      </c>
      <c r="C4" s="5" t="s">
        <v>32</v>
      </c>
      <c r="D4" s="5" t="n">
        <f aca="false">COUNTIF(Darslar!$B$2:$B$37,A4)</f>
        <v>8</v>
      </c>
      <c r="E4" s="5" t="str">
        <f aca="false">IF(_xlfn.MINIFS(Darslar!$C$2:$C$37,Darslar!$B$2:$B$37,A4)=_xlfn.MAXIFS(Darslar!$C$2:$C$37,Darslar!$B$2:$B$37,A4),_xlfn.MINIFS(Darslar!$C$2:$C$37,Darslar!$B$2:$B$37,A4)&amp;"",_xlfn.MINIFS(Darslar!$C$2:$C$37,Darslar!$B$2:$B$37,A4)&amp;"–"&amp;_xlfn.MAXIFS(Darslar!$C$2:$C$37,Darslar!$B$2:$B$37,A4))</f>
        <v>4–6</v>
      </c>
      <c r="F4" s="6" t="s">
        <v>29</v>
      </c>
    </row>
    <row r="5" customFormat="false" ht="15" hidden="false" customHeight="false" outlineLevel="0" collapsed="false">
      <c r="A5" s="5" t="s">
        <v>33</v>
      </c>
      <c r="B5" s="6" t="s">
        <v>34</v>
      </c>
      <c r="C5" s="5" t="s">
        <v>35</v>
      </c>
      <c r="D5" s="5" t="n">
        <f aca="false">COUNTIF(Darslar!$B$2:$B$37,A5)</f>
        <v>8</v>
      </c>
      <c r="E5" s="5" t="str">
        <f aca="false">IF(_xlfn.MINIFS(Darslar!$C$2:$C$37,Darslar!$B$2:$B$37,A5)=_xlfn.MAXIFS(Darslar!$C$2:$C$37,Darslar!$B$2:$B$37,A5),_xlfn.MINIFS(Darslar!$C$2:$C$37,Darslar!$B$2:$B$37,A5)&amp;"",_xlfn.MINIFS(Darslar!$C$2:$C$37,Darslar!$B$2:$B$37,A5)&amp;"–"&amp;_xlfn.MAXIFS(Darslar!$C$2:$C$37,Darslar!$B$2:$B$37,A5))</f>
        <v>7–9</v>
      </c>
      <c r="F5" s="6" t="s">
        <v>29</v>
      </c>
    </row>
    <row r="6" customFormat="false" ht="26.85" hidden="false" customHeight="false" outlineLevel="0" collapsed="false">
      <c r="A6" s="5" t="s">
        <v>36</v>
      </c>
      <c r="B6" s="6" t="s">
        <v>37</v>
      </c>
      <c r="C6" s="5" t="s">
        <v>38</v>
      </c>
      <c r="D6" s="5" t="n">
        <f aca="false">COUNTIF(Darslar!$B$2:$B$37,A6)</f>
        <v>7</v>
      </c>
      <c r="E6" s="5" t="str">
        <f aca="false">IF(_xlfn.MINIFS(Darslar!$C$2:$C$37,Darslar!$B$2:$B$37,A6)=_xlfn.MAXIFS(Darslar!$C$2:$C$37,Darslar!$B$2:$B$37,A6),_xlfn.MINIFS(Darslar!$C$2:$C$37,Darslar!$B$2:$B$37,A6)&amp;"",_xlfn.MINIFS(Darslar!$C$2:$C$37,Darslar!$B$2:$B$37,A6)&amp;"–"&amp;_xlfn.MAXIFS(Darslar!$C$2:$C$37,Darslar!$B$2:$B$37,A6))</f>
        <v>9–11</v>
      </c>
      <c r="F6" s="6" t="s">
        <v>29</v>
      </c>
    </row>
    <row r="7" customFormat="false" ht="15" hidden="false" customHeight="false" outlineLevel="0" collapsed="false">
      <c r="A7" s="5" t="s">
        <v>39</v>
      </c>
      <c r="B7" s="6" t="s">
        <v>40</v>
      </c>
      <c r="C7" s="5" t="s">
        <v>38</v>
      </c>
      <c r="D7" s="5" t="n">
        <f aca="false">COUNTIF(Darslar!$B$2:$B$37,A7)</f>
        <v>3</v>
      </c>
      <c r="E7" s="5" t="str">
        <f aca="false">IF(_xlfn.MINIFS(Darslar!$C$2:$C$37,Darslar!$B$2:$B$37,A7)=_xlfn.MAXIFS(Darslar!$C$2:$C$37,Darslar!$B$2:$B$37,A7),_xlfn.MINIFS(Darslar!$C$2:$C$37,Darslar!$B$2:$B$37,A7)&amp;"",_xlfn.MINIFS(Darslar!$C$2:$C$37,Darslar!$B$2:$B$37,A7)&amp;"–"&amp;_xlfn.MAXIFS(Darslar!$C$2:$C$37,Darslar!$B$2:$B$37,A7))</f>
        <v>12</v>
      </c>
      <c r="F7" s="6" t="s">
        <v>41</v>
      </c>
    </row>
    <row r="8" customFormat="false" ht="15" hidden="false" customHeight="false" outlineLevel="0" collapsed="false">
      <c r="A8" s="7" t="s">
        <v>42</v>
      </c>
      <c r="B8" s="8"/>
      <c r="C8" s="8"/>
      <c r="D8" s="9" t="n">
        <f aca="false">SUM(D2:D7)</f>
        <v>36</v>
      </c>
      <c r="E8" s="8"/>
      <c r="F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7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36"/>
    <col collapsed="false" customWidth="true" hidden="false" outlineLevel="0" max="8" min="8" style="0" width="44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22"/>
  </cols>
  <sheetData>
    <row r="1" customFormat="false" ht="39" hidden="false" customHeight="true" outlineLevel="0" collapsed="false">
      <c r="A1" s="4" t="s">
        <v>43</v>
      </c>
      <c r="B1" s="4" t="s">
        <v>16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</row>
    <row r="2" customFormat="false" ht="37.5" hidden="false" customHeight="true" outlineLevel="0" collapsed="false">
      <c r="A2" s="10" t="n">
        <v>1</v>
      </c>
      <c r="B2" s="10" t="s">
        <v>22</v>
      </c>
      <c r="C2" s="10" t="n">
        <v>1</v>
      </c>
      <c r="D2" s="11" t="s">
        <v>54</v>
      </c>
      <c r="E2" s="11" t="s">
        <v>55</v>
      </c>
      <c r="F2" s="12" t="s">
        <v>56</v>
      </c>
      <c r="G2" s="11" t="s">
        <v>57</v>
      </c>
      <c r="H2" s="11" t="s">
        <v>58</v>
      </c>
      <c r="I2" s="10" t="s">
        <v>59</v>
      </c>
      <c r="J2" s="13" t="s">
        <v>60</v>
      </c>
      <c r="K2" s="11" t="s">
        <v>61</v>
      </c>
      <c r="L2" s="11" t="s">
        <v>62</v>
      </c>
    </row>
    <row r="3" customFormat="false" ht="37.5" hidden="false" customHeight="true" outlineLevel="0" collapsed="false">
      <c r="A3" s="10" t="n">
        <v>2</v>
      </c>
      <c r="B3" s="10" t="s">
        <v>22</v>
      </c>
      <c r="C3" s="10" t="n">
        <v>1</v>
      </c>
      <c r="D3" s="11" t="s">
        <v>63</v>
      </c>
      <c r="E3" s="11" t="s">
        <v>55</v>
      </c>
      <c r="F3" s="12" t="s">
        <v>56</v>
      </c>
      <c r="G3" s="11" t="s">
        <v>64</v>
      </c>
      <c r="H3" s="11" t="s">
        <v>65</v>
      </c>
      <c r="I3" s="10" t="s">
        <v>28</v>
      </c>
      <c r="J3" s="13" t="s">
        <v>60</v>
      </c>
      <c r="K3" s="11" t="s">
        <v>61</v>
      </c>
      <c r="L3" s="11" t="s">
        <v>66</v>
      </c>
    </row>
    <row r="4" customFormat="false" ht="37.5" hidden="false" customHeight="true" outlineLevel="0" collapsed="false">
      <c r="A4" s="10" t="n">
        <v>3</v>
      </c>
      <c r="B4" s="10" t="s">
        <v>26</v>
      </c>
      <c r="C4" s="10" t="n">
        <v>1</v>
      </c>
      <c r="D4" s="11" t="s">
        <v>67</v>
      </c>
      <c r="E4" s="11" t="s">
        <v>68</v>
      </c>
      <c r="F4" s="14" t="s">
        <v>69</v>
      </c>
      <c r="G4" s="11" t="s">
        <v>70</v>
      </c>
      <c r="H4" s="11" t="s">
        <v>71</v>
      </c>
      <c r="I4" s="10" t="s">
        <v>28</v>
      </c>
      <c r="J4" s="13" t="s">
        <v>60</v>
      </c>
      <c r="K4" s="11" t="s">
        <v>61</v>
      </c>
      <c r="L4" s="11" t="s">
        <v>66</v>
      </c>
    </row>
    <row r="5" customFormat="false" ht="37.5" hidden="false" customHeight="true" outlineLevel="0" collapsed="false">
      <c r="A5" s="10" t="n">
        <v>4</v>
      </c>
      <c r="B5" s="10" t="s">
        <v>26</v>
      </c>
      <c r="C5" s="10" t="n">
        <v>2</v>
      </c>
      <c r="D5" s="11" t="s">
        <v>72</v>
      </c>
      <c r="E5" s="11" t="s">
        <v>73</v>
      </c>
      <c r="F5" s="14" t="s">
        <v>69</v>
      </c>
      <c r="G5" s="11" t="s">
        <v>74</v>
      </c>
      <c r="H5" s="11" t="s">
        <v>75</v>
      </c>
      <c r="I5" s="10" t="s">
        <v>28</v>
      </c>
      <c r="J5" s="13" t="s">
        <v>60</v>
      </c>
      <c r="K5" s="11" t="s">
        <v>61</v>
      </c>
      <c r="L5" s="11" t="s">
        <v>66</v>
      </c>
    </row>
    <row r="6" customFormat="false" ht="37.5" hidden="false" customHeight="true" outlineLevel="0" collapsed="false">
      <c r="A6" s="10" t="n">
        <v>5</v>
      </c>
      <c r="B6" s="10" t="s">
        <v>26</v>
      </c>
      <c r="C6" s="10" t="n">
        <v>2</v>
      </c>
      <c r="D6" s="11" t="s">
        <v>76</v>
      </c>
      <c r="E6" s="11" t="s">
        <v>77</v>
      </c>
      <c r="F6" s="15" t="s">
        <v>78</v>
      </c>
      <c r="G6" s="11" t="s">
        <v>79</v>
      </c>
      <c r="H6" s="11" t="s">
        <v>80</v>
      </c>
      <c r="I6" s="10" t="s">
        <v>28</v>
      </c>
      <c r="J6" s="13" t="s">
        <v>60</v>
      </c>
      <c r="K6" s="11" t="s">
        <v>61</v>
      </c>
      <c r="L6" s="11" t="s">
        <v>66</v>
      </c>
    </row>
    <row r="7" customFormat="false" ht="37.5" hidden="false" customHeight="true" outlineLevel="0" collapsed="false">
      <c r="A7" s="10" t="n">
        <v>6</v>
      </c>
      <c r="B7" s="10" t="s">
        <v>26</v>
      </c>
      <c r="C7" s="10" t="n">
        <v>2</v>
      </c>
      <c r="D7" s="11" t="s">
        <v>81</v>
      </c>
      <c r="E7" s="11" t="s">
        <v>82</v>
      </c>
      <c r="F7" s="14" t="s">
        <v>69</v>
      </c>
      <c r="G7" s="11" t="s">
        <v>83</v>
      </c>
      <c r="H7" s="11" t="s">
        <v>84</v>
      </c>
      <c r="I7" s="10" t="s">
        <v>28</v>
      </c>
      <c r="J7" s="13" t="s">
        <v>60</v>
      </c>
      <c r="K7" s="11" t="s">
        <v>61</v>
      </c>
      <c r="L7" s="11" t="s">
        <v>66</v>
      </c>
    </row>
    <row r="8" customFormat="false" ht="37.5" hidden="false" customHeight="true" outlineLevel="0" collapsed="false">
      <c r="A8" s="10" t="n">
        <v>7</v>
      </c>
      <c r="B8" s="10" t="s">
        <v>26</v>
      </c>
      <c r="C8" s="10" t="n">
        <v>3</v>
      </c>
      <c r="D8" s="11" t="s">
        <v>85</v>
      </c>
      <c r="E8" s="11" t="s">
        <v>86</v>
      </c>
      <c r="F8" s="14" t="s">
        <v>69</v>
      </c>
      <c r="G8" s="11" t="s">
        <v>87</v>
      </c>
      <c r="H8" s="11" t="s">
        <v>88</v>
      </c>
      <c r="I8" s="10" t="s">
        <v>28</v>
      </c>
      <c r="J8" s="13" t="s">
        <v>60</v>
      </c>
      <c r="K8" s="11" t="s">
        <v>61</v>
      </c>
      <c r="L8" s="11" t="s">
        <v>66</v>
      </c>
    </row>
    <row r="9" customFormat="false" ht="37.5" hidden="false" customHeight="true" outlineLevel="0" collapsed="false">
      <c r="A9" s="10" t="n">
        <v>8</v>
      </c>
      <c r="B9" s="10" t="s">
        <v>26</v>
      </c>
      <c r="C9" s="10" t="n">
        <v>3</v>
      </c>
      <c r="D9" s="11" t="s">
        <v>89</v>
      </c>
      <c r="E9" s="11" t="s">
        <v>90</v>
      </c>
      <c r="F9" s="16" t="s">
        <v>91</v>
      </c>
      <c r="G9" s="11" t="s">
        <v>92</v>
      </c>
      <c r="H9" s="11" t="s">
        <v>93</v>
      </c>
      <c r="I9" s="10" t="s">
        <v>28</v>
      </c>
      <c r="J9" s="13" t="s">
        <v>60</v>
      </c>
      <c r="K9" s="11" t="s">
        <v>61</v>
      </c>
      <c r="L9" s="11" t="s">
        <v>66</v>
      </c>
    </row>
    <row r="10" customFormat="false" ht="37.5" hidden="false" customHeight="true" outlineLevel="0" collapsed="false">
      <c r="A10" s="10" t="n">
        <v>9</v>
      </c>
      <c r="B10" s="10" t="s">
        <v>26</v>
      </c>
      <c r="C10" s="10" t="n">
        <v>3</v>
      </c>
      <c r="D10" s="11" t="s">
        <v>94</v>
      </c>
      <c r="E10" s="11" t="s">
        <v>95</v>
      </c>
      <c r="F10" s="17" t="s">
        <v>96</v>
      </c>
      <c r="G10" s="11" t="s">
        <v>97</v>
      </c>
      <c r="H10" s="11" t="s">
        <v>98</v>
      </c>
      <c r="I10" s="10" t="s">
        <v>28</v>
      </c>
      <c r="J10" s="13" t="s">
        <v>60</v>
      </c>
      <c r="K10" s="11" t="s">
        <v>99</v>
      </c>
      <c r="L10" s="11" t="s">
        <v>100</v>
      </c>
    </row>
    <row r="11" customFormat="false" ht="37.5" hidden="false" customHeight="true" outlineLevel="0" collapsed="false">
      <c r="A11" s="10" t="n">
        <v>10</v>
      </c>
      <c r="B11" s="10" t="s">
        <v>26</v>
      </c>
      <c r="C11" s="10" t="n">
        <v>4</v>
      </c>
      <c r="D11" s="11" t="s">
        <v>101</v>
      </c>
      <c r="E11" s="11" t="s">
        <v>102</v>
      </c>
      <c r="F11" s="17" t="s">
        <v>96</v>
      </c>
      <c r="G11" s="11" t="s">
        <v>103</v>
      </c>
      <c r="H11" s="11" t="s">
        <v>104</v>
      </c>
      <c r="I11" s="10" t="s">
        <v>28</v>
      </c>
      <c r="J11" s="13" t="s">
        <v>60</v>
      </c>
      <c r="K11" s="11" t="s">
        <v>105</v>
      </c>
      <c r="L11" s="11" t="s">
        <v>106</v>
      </c>
    </row>
    <row r="12" customFormat="false" ht="37.5" hidden="false" customHeight="true" outlineLevel="0" collapsed="false">
      <c r="A12" s="10" t="n">
        <v>11</v>
      </c>
      <c r="B12" s="10" t="s">
        <v>30</v>
      </c>
      <c r="C12" s="10" t="n">
        <v>4</v>
      </c>
      <c r="D12" s="11" t="s">
        <v>107</v>
      </c>
      <c r="E12" s="11" t="s">
        <v>108</v>
      </c>
      <c r="F12" s="14" t="s">
        <v>69</v>
      </c>
      <c r="G12" s="11" t="s">
        <v>109</v>
      </c>
      <c r="H12" s="11" t="s">
        <v>110</v>
      </c>
      <c r="I12" s="10" t="s">
        <v>28</v>
      </c>
      <c r="J12" s="13" t="s">
        <v>60</v>
      </c>
      <c r="K12" s="11" t="s">
        <v>61</v>
      </c>
      <c r="L12" s="11" t="s">
        <v>66</v>
      </c>
    </row>
    <row r="13" customFormat="false" ht="37.5" hidden="false" customHeight="true" outlineLevel="0" collapsed="false">
      <c r="A13" s="10" t="n">
        <v>12</v>
      </c>
      <c r="B13" s="10" t="s">
        <v>30</v>
      </c>
      <c r="C13" s="10" t="n">
        <v>4</v>
      </c>
      <c r="D13" s="11" t="s">
        <v>111</v>
      </c>
      <c r="E13" s="11" t="s">
        <v>112</v>
      </c>
      <c r="F13" s="14" t="s">
        <v>69</v>
      </c>
      <c r="G13" s="11" t="s">
        <v>113</v>
      </c>
      <c r="H13" s="11" t="s">
        <v>114</v>
      </c>
      <c r="I13" s="10" t="s">
        <v>32</v>
      </c>
      <c r="J13" s="13" t="s">
        <v>60</v>
      </c>
      <c r="K13" s="11" t="s">
        <v>61</v>
      </c>
      <c r="L13" s="11" t="s">
        <v>66</v>
      </c>
    </row>
    <row r="14" customFormat="false" ht="37.5" hidden="false" customHeight="true" outlineLevel="0" collapsed="false">
      <c r="A14" s="10" t="n">
        <v>13</v>
      </c>
      <c r="B14" s="10" t="s">
        <v>30</v>
      </c>
      <c r="C14" s="10" t="n">
        <v>5</v>
      </c>
      <c r="D14" s="11" t="s">
        <v>115</v>
      </c>
      <c r="E14" s="11" t="s">
        <v>116</v>
      </c>
      <c r="F14" s="14" t="s">
        <v>69</v>
      </c>
      <c r="G14" s="11" t="s">
        <v>117</v>
      </c>
      <c r="H14" s="11" t="s">
        <v>118</v>
      </c>
      <c r="I14" s="10" t="s">
        <v>32</v>
      </c>
      <c r="J14" s="13" t="s">
        <v>60</v>
      </c>
      <c r="K14" s="11" t="s">
        <v>61</v>
      </c>
      <c r="L14" s="11" t="s">
        <v>66</v>
      </c>
    </row>
    <row r="15" customFormat="false" ht="37.5" hidden="false" customHeight="true" outlineLevel="0" collapsed="false">
      <c r="A15" s="10" t="n">
        <v>14</v>
      </c>
      <c r="B15" s="10" t="s">
        <v>30</v>
      </c>
      <c r="C15" s="10" t="n">
        <v>5</v>
      </c>
      <c r="D15" s="11" t="s">
        <v>119</v>
      </c>
      <c r="E15" s="11" t="s">
        <v>120</v>
      </c>
      <c r="F15" s="14" t="s">
        <v>69</v>
      </c>
      <c r="G15" s="11" t="s">
        <v>121</v>
      </c>
      <c r="H15" s="11" t="s">
        <v>122</v>
      </c>
      <c r="I15" s="10" t="s">
        <v>32</v>
      </c>
      <c r="J15" s="13" t="s">
        <v>60</v>
      </c>
      <c r="K15" s="11" t="s">
        <v>61</v>
      </c>
      <c r="L15" s="11" t="s">
        <v>66</v>
      </c>
    </row>
    <row r="16" customFormat="false" ht="37.5" hidden="false" customHeight="true" outlineLevel="0" collapsed="false">
      <c r="A16" s="10" t="n">
        <v>15</v>
      </c>
      <c r="B16" s="10" t="s">
        <v>30</v>
      </c>
      <c r="C16" s="10" t="n">
        <v>5</v>
      </c>
      <c r="D16" s="11" t="s">
        <v>123</v>
      </c>
      <c r="E16" s="11" t="s">
        <v>124</v>
      </c>
      <c r="F16" s="14" t="s">
        <v>69</v>
      </c>
      <c r="G16" s="11" t="s">
        <v>125</v>
      </c>
      <c r="H16" s="11" t="s">
        <v>126</v>
      </c>
      <c r="I16" s="10" t="s">
        <v>32</v>
      </c>
      <c r="J16" s="13" t="s">
        <v>60</v>
      </c>
      <c r="K16" s="11" t="s">
        <v>61</v>
      </c>
      <c r="L16" s="11" t="s">
        <v>66</v>
      </c>
    </row>
    <row r="17" customFormat="false" ht="37.5" hidden="false" customHeight="true" outlineLevel="0" collapsed="false">
      <c r="A17" s="10" t="n">
        <v>16</v>
      </c>
      <c r="B17" s="10" t="s">
        <v>30</v>
      </c>
      <c r="C17" s="10" t="n">
        <v>6</v>
      </c>
      <c r="D17" s="11" t="s">
        <v>127</v>
      </c>
      <c r="E17" s="11" t="s">
        <v>128</v>
      </c>
      <c r="F17" s="15" t="s">
        <v>78</v>
      </c>
      <c r="G17" s="11" t="s">
        <v>129</v>
      </c>
      <c r="H17" s="11" t="s">
        <v>130</v>
      </c>
      <c r="I17" s="10" t="s">
        <v>32</v>
      </c>
      <c r="J17" s="13" t="s">
        <v>60</v>
      </c>
      <c r="K17" s="11" t="s">
        <v>61</v>
      </c>
      <c r="L17" s="11" t="s">
        <v>66</v>
      </c>
    </row>
    <row r="18" customFormat="false" ht="37.5" hidden="false" customHeight="true" outlineLevel="0" collapsed="false">
      <c r="A18" s="10" t="n">
        <v>17</v>
      </c>
      <c r="B18" s="10" t="s">
        <v>30</v>
      </c>
      <c r="C18" s="10" t="n">
        <v>6</v>
      </c>
      <c r="D18" s="11" t="s">
        <v>131</v>
      </c>
      <c r="E18" s="11" t="s">
        <v>132</v>
      </c>
      <c r="F18" s="16" t="s">
        <v>91</v>
      </c>
      <c r="G18" s="11" t="s">
        <v>133</v>
      </c>
      <c r="H18" s="11" t="s">
        <v>134</v>
      </c>
      <c r="I18" s="10" t="s">
        <v>32</v>
      </c>
      <c r="J18" s="13" t="s">
        <v>60</v>
      </c>
      <c r="K18" s="11" t="s">
        <v>61</v>
      </c>
      <c r="L18" s="11" t="s">
        <v>66</v>
      </c>
    </row>
    <row r="19" customFormat="false" ht="37.5" hidden="false" customHeight="true" outlineLevel="0" collapsed="false">
      <c r="A19" s="10" t="n">
        <v>18</v>
      </c>
      <c r="B19" s="10" t="s">
        <v>30</v>
      </c>
      <c r="C19" s="10" t="n">
        <v>6</v>
      </c>
      <c r="D19" s="11" t="s">
        <v>135</v>
      </c>
      <c r="E19" s="11" t="s">
        <v>136</v>
      </c>
      <c r="F19" s="17" t="s">
        <v>96</v>
      </c>
      <c r="G19" s="11" t="s">
        <v>137</v>
      </c>
      <c r="H19" s="11" t="s">
        <v>138</v>
      </c>
      <c r="I19" s="10" t="s">
        <v>32</v>
      </c>
      <c r="J19" s="13" t="s">
        <v>60</v>
      </c>
      <c r="K19" s="11" t="s">
        <v>105</v>
      </c>
      <c r="L19" s="11" t="s">
        <v>106</v>
      </c>
    </row>
    <row r="20" customFormat="false" ht="37.5" hidden="false" customHeight="true" outlineLevel="0" collapsed="false">
      <c r="A20" s="10" t="n">
        <v>19</v>
      </c>
      <c r="B20" s="10" t="s">
        <v>33</v>
      </c>
      <c r="C20" s="10" t="n">
        <v>7</v>
      </c>
      <c r="D20" s="11" t="s">
        <v>139</v>
      </c>
      <c r="E20" s="11" t="s">
        <v>140</v>
      </c>
      <c r="F20" s="14" t="s">
        <v>69</v>
      </c>
      <c r="G20" s="11" t="s">
        <v>141</v>
      </c>
      <c r="H20" s="11" t="s">
        <v>142</v>
      </c>
      <c r="I20" s="10" t="s">
        <v>35</v>
      </c>
      <c r="J20" s="13" t="s">
        <v>60</v>
      </c>
      <c r="K20" s="11" t="s">
        <v>61</v>
      </c>
      <c r="L20" s="11" t="s">
        <v>66</v>
      </c>
    </row>
    <row r="21" customFormat="false" ht="37.5" hidden="false" customHeight="true" outlineLevel="0" collapsed="false">
      <c r="A21" s="10" t="n">
        <v>20</v>
      </c>
      <c r="B21" s="10" t="s">
        <v>33</v>
      </c>
      <c r="C21" s="10" t="n">
        <v>7</v>
      </c>
      <c r="D21" s="11" t="s">
        <v>143</v>
      </c>
      <c r="E21" s="11" t="s">
        <v>144</v>
      </c>
      <c r="F21" s="14" t="s">
        <v>69</v>
      </c>
      <c r="G21" s="11" t="s">
        <v>145</v>
      </c>
      <c r="H21" s="11" t="s">
        <v>146</v>
      </c>
      <c r="I21" s="10" t="s">
        <v>35</v>
      </c>
      <c r="J21" s="13" t="s">
        <v>60</v>
      </c>
      <c r="K21" s="11" t="s">
        <v>61</v>
      </c>
      <c r="L21" s="11" t="s">
        <v>66</v>
      </c>
    </row>
    <row r="22" customFormat="false" ht="37.5" hidden="false" customHeight="true" outlineLevel="0" collapsed="false">
      <c r="A22" s="10" t="n">
        <v>21</v>
      </c>
      <c r="B22" s="10" t="s">
        <v>33</v>
      </c>
      <c r="C22" s="10" t="n">
        <v>7</v>
      </c>
      <c r="D22" s="11" t="s">
        <v>147</v>
      </c>
      <c r="E22" s="11" t="s">
        <v>148</v>
      </c>
      <c r="F22" s="14" t="s">
        <v>69</v>
      </c>
      <c r="G22" s="11" t="s">
        <v>149</v>
      </c>
      <c r="H22" s="11" t="s">
        <v>150</v>
      </c>
      <c r="I22" s="10" t="s">
        <v>35</v>
      </c>
      <c r="J22" s="13" t="s">
        <v>60</v>
      </c>
      <c r="K22" s="11" t="s">
        <v>61</v>
      </c>
      <c r="L22" s="11" t="s">
        <v>66</v>
      </c>
    </row>
    <row r="23" customFormat="false" ht="37.5" hidden="false" customHeight="true" outlineLevel="0" collapsed="false">
      <c r="A23" s="10" t="n">
        <v>22</v>
      </c>
      <c r="B23" s="10" t="s">
        <v>33</v>
      </c>
      <c r="C23" s="10" t="n">
        <v>8</v>
      </c>
      <c r="D23" s="11" t="s">
        <v>151</v>
      </c>
      <c r="E23" s="11" t="s">
        <v>152</v>
      </c>
      <c r="F23" s="15" t="s">
        <v>78</v>
      </c>
      <c r="G23" s="11" t="s">
        <v>153</v>
      </c>
      <c r="H23" s="11" t="s">
        <v>154</v>
      </c>
      <c r="I23" s="10" t="s">
        <v>35</v>
      </c>
      <c r="J23" s="13" t="s">
        <v>60</v>
      </c>
      <c r="K23" s="11" t="s">
        <v>61</v>
      </c>
      <c r="L23" s="11" t="s">
        <v>66</v>
      </c>
    </row>
    <row r="24" customFormat="false" ht="37.5" hidden="false" customHeight="true" outlineLevel="0" collapsed="false">
      <c r="A24" s="10" t="n">
        <v>23</v>
      </c>
      <c r="B24" s="10" t="s">
        <v>33</v>
      </c>
      <c r="C24" s="10" t="n">
        <v>8</v>
      </c>
      <c r="D24" s="11" t="s">
        <v>155</v>
      </c>
      <c r="E24" s="11" t="s">
        <v>156</v>
      </c>
      <c r="F24" s="14" t="s">
        <v>69</v>
      </c>
      <c r="G24" s="11" t="s">
        <v>157</v>
      </c>
      <c r="H24" s="11" t="s">
        <v>158</v>
      </c>
      <c r="I24" s="10" t="s">
        <v>38</v>
      </c>
      <c r="J24" s="13" t="s">
        <v>60</v>
      </c>
      <c r="K24" s="11" t="s">
        <v>61</v>
      </c>
      <c r="L24" s="11" t="s">
        <v>66</v>
      </c>
    </row>
    <row r="25" customFormat="false" ht="37.5" hidden="false" customHeight="true" outlineLevel="0" collapsed="false">
      <c r="A25" s="10" t="n">
        <v>24</v>
      </c>
      <c r="B25" s="10" t="s">
        <v>33</v>
      </c>
      <c r="C25" s="10" t="n">
        <v>8</v>
      </c>
      <c r="D25" s="11" t="s">
        <v>159</v>
      </c>
      <c r="E25" s="11" t="s">
        <v>160</v>
      </c>
      <c r="F25" s="16" t="s">
        <v>91</v>
      </c>
      <c r="G25" s="11" t="s">
        <v>161</v>
      </c>
      <c r="H25" s="11" t="s">
        <v>162</v>
      </c>
      <c r="I25" s="10" t="s">
        <v>38</v>
      </c>
      <c r="J25" s="13" t="s">
        <v>60</v>
      </c>
      <c r="K25" s="11" t="s">
        <v>61</v>
      </c>
      <c r="L25" s="11" t="s">
        <v>66</v>
      </c>
    </row>
    <row r="26" customFormat="false" ht="37.5" hidden="false" customHeight="true" outlineLevel="0" collapsed="false">
      <c r="A26" s="10" t="n">
        <v>25</v>
      </c>
      <c r="B26" s="10" t="s">
        <v>33</v>
      </c>
      <c r="C26" s="10" t="n">
        <v>9</v>
      </c>
      <c r="D26" s="11" t="s">
        <v>163</v>
      </c>
      <c r="E26" s="11" t="s">
        <v>164</v>
      </c>
      <c r="F26" s="17" t="s">
        <v>96</v>
      </c>
      <c r="G26" s="11" t="s">
        <v>165</v>
      </c>
      <c r="H26" s="11" t="s">
        <v>166</v>
      </c>
      <c r="I26" s="10" t="s">
        <v>38</v>
      </c>
      <c r="J26" s="13" t="s">
        <v>60</v>
      </c>
      <c r="K26" s="11" t="s">
        <v>99</v>
      </c>
      <c r="L26" s="11" t="s">
        <v>100</v>
      </c>
    </row>
    <row r="27" customFormat="false" ht="37.5" hidden="false" customHeight="true" outlineLevel="0" collapsed="false">
      <c r="A27" s="10" t="n">
        <v>26</v>
      </c>
      <c r="B27" s="10" t="s">
        <v>33</v>
      </c>
      <c r="C27" s="10" t="n">
        <v>9</v>
      </c>
      <c r="D27" s="11" t="s">
        <v>167</v>
      </c>
      <c r="E27" s="11" t="s">
        <v>168</v>
      </c>
      <c r="F27" s="17" t="s">
        <v>96</v>
      </c>
      <c r="G27" s="11" t="s">
        <v>169</v>
      </c>
      <c r="H27" s="11" t="s">
        <v>170</v>
      </c>
      <c r="I27" s="10" t="s">
        <v>38</v>
      </c>
      <c r="J27" s="13" t="s">
        <v>60</v>
      </c>
      <c r="K27" s="11" t="s">
        <v>105</v>
      </c>
      <c r="L27" s="11" t="s">
        <v>106</v>
      </c>
    </row>
    <row r="28" customFormat="false" ht="37.5" hidden="false" customHeight="true" outlineLevel="0" collapsed="false">
      <c r="A28" s="10" t="n">
        <v>27</v>
      </c>
      <c r="B28" s="10" t="s">
        <v>36</v>
      </c>
      <c r="C28" s="10" t="n">
        <v>9</v>
      </c>
      <c r="D28" s="11" t="s">
        <v>171</v>
      </c>
      <c r="E28" s="11" t="s">
        <v>172</v>
      </c>
      <c r="F28" s="14" t="s">
        <v>69</v>
      </c>
      <c r="G28" s="11" t="s">
        <v>173</v>
      </c>
      <c r="H28" s="11" t="s">
        <v>174</v>
      </c>
      <c r="I28" s="10" t="s">
        <v>38</v>
      </c>
      <c r="J28" s="13" t="s">
        <v>60</v>
      </c>
      <c r="K28" s="11" t="s">
        <v>61</v>
      </c>
      <c r="L28" s="11" t="s">
        <v>66</v>
      </c>
    </row>
    <row r="29" customFormat="false" ht="37.5" hidden="false" customHeight="true" outlineLevel="0" collapsed="false">
      <c r="A29" s="10" t="n">
        <v>28</v>
      </c>
      <c r="B29" s="10" t="s">
        <v>36</v>
      </c>
      <c r="C29" s="10" t="n">
        <v>10</v>
      </c>
      <c r="D29" s="11" t="s">
        <v>175</v>
      </c>
      <c r="E29" s="11" t="s">
        <v>176</v>
      </c>
      <c r="F29" s="14" t="s">
        <v>69</v>
      </c>
      <c r="G29" s="11" t="s">
        <v>177</v>
      </c>
      <c r="H29" s="11" t="s">
        <v>178</v>
      </c>
      <c r="I29" s="10" t="s">
        <v>38</v>
      </c>
      <c r="J29" s="13" t="s">
        <v>60</v>
      </c>
      <c r="K29" s="11" t="s">
        <v>61</v>
      </c>
      <c r="L29" s="11" t="s">
        <v>66</v>
      </c>
    </row>
    <row r="30" customFormat="false" ht="37.5" hidden="false" customHeight="true" outlineLevel="0" collapsed="false">
      <c r="A30" s="10" t="n">
        <v>29</v>
      </c>
      <c r="B30" s="10" t="s">
        <v>36</v>
      </c>
      <c r="C30" s="10" t="n">
        <v>10</v>
      </c>
      <c r="D30" s="11" t="s">
        <v>179</v>
      </c>
      <c r="E30" s="11" t="s">
        <v>180</v>
      </c>
      <c r="F30" s="14" t="s">
        <v>69</v>
      </c>
      <c r="G30" s="11" t="s">
        <v>181</v>
      </c>
      <c r="H30" s="11" t="s">
        <v>182</v>
      </c>
      <c r="I30" s="10" t="s">
        <v>38</v>
      </c>
      <c r="J30" s="13" t="s">
        <v>60</v>
      </c>
      <c r="K30" s="11" t="s">
        <v>61</v>
      </c>
      <c r="L30" s="11" t="s">
        <v>66</v>
      </c>
    </row>
    <row r="31" customFormat="false" ht="37.5" hidden="false" customHeight="true" outlineLevel="0" collapsed="false">
      <c r="A31" s="10" t="n">
        <v>30</v>
      </c>
      <c r="B31" s="10" t="s">
        <v>36</v>
      </c>
      <c r="C31" s="10" t="n">
        <v>10</v>
      </c>
      <c r="D31" s="11" t="s">
        <v>183</v>
      </c>
      <c r="E31" s="11" t="s">
        <v>184</v>
      </c>
      <c r="F31" s="14" t="s">
        <v>69</v>
      </c>
      <c r="G31" s="11" t="s">
        <v>185</v>
      </c>
      <c r="H31" s="11" t="s">
        <v>186</v>
      </c>
      <c r="I31" s="10" t="s">
        <v>38</v>
      </c>
      <c r="J31" s="13" t="s">
        <v>60</v>
      </c>
      <c r="K31" s="11" t="s">
        <v>61</v>
      </c>
      <c r="L31" s="11" t="s">
        <v>66</v>
      </c>
    </row>
    <row r="32" customFormat="false" ht="37.5" hidden="false" customHeight="true" outlineLevel="0" collapsed="false">
      <c r="A32" s="10" t="n">
        <v>31</v>
      </c>
      <c r="B32" s="10" t="s">
        <v>36</v>
      </c>
      <c r="C32" s="10" t="n">
        <v>11</v>
      </c>
      <c r="D32" s="11" t="s">
        <v>187</v>
      </c>
      <c r="E32" s="11" t="s">
        <v>188</v>
      </c>
      <c r="F32" s="15" t="s">
        <v>78</v>
      </c>
      <c r="G32" s="11" t="s">
        <v>189</v>
      </c>
      <c r="H32" s="11" t="s">
        <v>190</v>
      </c>
      <c r="I32" s="10" t="s">
        <v>38</v>
      </c>
      <c r="J32" s="13" t="s">
        <v>60</v>
      </c>
      <c r="K32" s="11" t="s">
        <v>61</v>
      </c>
      <c r="L32" s="11" t="s">
        <v>66</v>
      </c>
    </row>
    <row r="33" customFormat="false" ht="37.5" hidden="false" customHeight="true" outlineLevel="0" collapsed="false">
      <c r="A33" s="10" t="n">
        <v>32</v>
      </c>
      <c r="B33" s="10" t="s">
        <v>36</v>
      </c>
      <c r="C33" s="10" t="n">
        <v>11</v>
      </c>
      <c r="D33" s="11" t="s">
        <v>191</v>
      </c>
      <c r="E33" s="11" t="s">
        <v>192</v>
      </c>
      <c r="F33" s="14" t="s">
        <v>69</v>
      </c>
      <c r="G33" s="11" t="s">
        <v>193</v>
      </c>
      <c r="H33" s="11" t="s">
        <v>194</v>
      </c>
      <c r="I33" s="10" t="s">
        <v>38</v>
      </c>
      <c r="J33" s="13" t="s">
        <v>60</v>
      </c>
      <c r="K33" s="11" t="s">
        <v>61</v>
      </c>
      <c r="L33" s="11" t="s">
        <v>66</v>
      </c>
    </row>
    <row r="34" customFormat="false" ht="37.5" hidden="false" customHeight="true" outlineLevel="0" collapsed="false">
      <c r="A34" s="10" t="n">
        <v>33</v>
      </c>
      <c r="B34" s="10" t="s">
        <v>36</v>
      </c>
      <c r="C34" s="10" t="n">
        <v>11</v>
      </c>
      <c r="D34" s="11" t="s">
        <v>195</v>
      </c>
      <c r="E34" s="11" t="s">
        <v>196</v>
      </c>
      <c r="F34" s="17" t="s">
        <v>96</v>
      </c>
      <c r="G34" s="11" t="s">
        <v>197</v>
      </c>
      <c r="H34" s="11" t="s">
        <v>198</v>
      </c>
      <c r="I34" s="10" t="s">
        <v>38</v>
      </c>
      <c r="J34" s="13" t="s">
        <v>60</v>
      </c>
      <c r="K34" s="11" t="s">
        <v>99</v>
      </c>
      <c r="L34" s="11" t="s">
        <v>100</v>
      </c>
    </row>
    <row r="35" customFormat="false" ht="37.5" hidden="false" customHeight="true" outlineLevel="0" collapsed="false">
      <c r="A35" s="10" t="n">
        <v>34</v>
      </c>
      <c r="B35" s="10" t="s">
        <v>39</v>
      </c>
      <c r="C35" s="10" t="n">
        <v>12</v>
      </c>
      <c r="D35" s="11" t="s">
        <v>199</v>
      </c>
      <c r="E35" s="11" t="s">
        <v>200</v>
      </c>
      <c r="F35" s="12" t="s">
        <v>56</v>
      </c>
      <c r="G35" s="11" t="s">
        <v>201</v>
      </c>
      <c r="H35" s="11" t="s">
        <v>202</v>
      </c>
      <c r="I35" s="10" t="s">
        <v>38</v>
      </c>
      <c r="J35" s="13" t="s">
        <v>60</v>
      </c>
      <c r="K35" s="11" t="s">
        <v>61</v>
      </c>
      <c r="L35" s="11" t="s">
        <v>203</v>
      </c>
    </row>
    <row r="36" customFormat="false" ht="37.5" hidden="false" customHeight="true" outlineLevel="0" collapsed="false">
      <c r="A36" s="10" t="n">
        <v>35</v>
      </c>
      <c r="B36" s="10" t="s">
        <v>39</v>
      </c>
      <c r="C36" s="10" t="n">
        <v>12</v>
      </c>
      <c r="D36" s="11" t="s">
        <v>204</v>
      </c>
      <c r="E36" s="11" t="s">
        <v>200</v>
      </c>
      <c r="F36" s="12" t="s">
        <v>56</v>
      </c>
      <c r="G36" s="11" t="s">
        <v>205</v>
      </c>
      <c r="H36" s="11" t="s">
        <v>206</v>
      </c>
      <c r="I36" s="10" t="s">
        <v>38</v>
      </c>
      <c r="J36" s="13" t="s">
        <v>60</v>
      </c>
      <c r="K36" s="11" t="s">
        <v>61</v>
      </c>
      <c r="L36" s="11" t="s">
        <v>203</v>
      </c>
    </row>
    <row r="37" customFormat="false" ht="37.5" hidden="false" customHeight="true" outlineLevel="0" collapsed="false">
      <c r="A37" s="10" t="n">
        <v>36</v>
      </c>
      <c r="B37" s="10" t="s">
        <v>39</v>
      </c>
      <c r="C37" s="10" t="n">
        <v>12</v>
      </c>
      <c r="D37" s="11" t="s">
        <v>207</v>
      </c>
      <c r="E37" s="11" t="s">
        <v>200</v>
      </c>
      <c r="F37" s="12" t="s">
        <v>56</v>
      </c>
      <c r="G37" s="11" t="s">
        <v>208</v>
      </c>
      <c r="H37" s="11" t="s">
        <v>209</v>
      </c>
      <c r="I37" s="10" t="s">
        <v>38</v>
      </c>
      <c r="J37" s="13" t="s">
        <v>60</v>
      </c>
      <c r="K37" s="11" t="s">
        <v>61</v>
      </c>
      <c r="L37" s="11" t="s">
        <v>203</v>
      </c>
    </row>
  </sheetData>
  <autoFilter ref="A1:L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6.25" hidden="false" customHeight="true" outlineLevel="0" collapsed="false">
      <c r="A1" s="4" t="s">
        <v>210</v>
      </c>
      <c r="B1" s="4" t="s">
        <v>47</v>
      </c>
      <c r="C1" s="4" t="s">
        <v>19</v>
      </c>
      <c r="D1" s="4" t="s">
        <v>211</v>
      </c>
      <c r="E1" s="4" t="s">
        <v>212</v>
      </c>
      <c r="F1" s="4" t="s">
        <v>213</v>
      </c>
    </row>
    <row r="2" customFormat="false" ht="15" hidden="false" customHeight="false" outlineLevel="0" collapsed="false">
      <c r="A2" s="11" t="s">
        <v>55</v>
      </c>
      <c r="B2" s="18" t="s">
        <v>56</v>
      </c>
      <c r="C2" s="10" t="n">
        <f aca="false">COUNTIF(Darslar!$E$2:$E$37,A2)</f>
        <v>2</v>
      </c>
      <c r="D2" s="10" t="n">
        <v>40</v>
      </c>
      <c r="E2" s="19"/>
      <c r="F2" s="13" t="str">
        <f aca="false">IF(E2="","Boshlanmagan",IF(E2&gt;=D2,"Tayyor","Jarayonda"))</f>
        <v>Boshlanmagan</v>
      </c>
    </row>
    <row r="3" customFormat="false" ht="15" hidden="false" customHeight="false" outlineLevel="0" collapsed="false">
      <c r="A3" s="11" t="s">
        <v>68</v>
      </c>
      <c r="B3" s="20" t="s">
        <v>69</v>
      </c>
      <c r="C3" s="10" t="n">
        <f aca="false">COUNTIF(Darslar!$E$2:$E$37,A3)</f>
        <v>1</v>
      </c>
      <c r="D3" s="10" t="n">
        <v>60</v>
      </c>
      <c r="E3" s="19"/>
      <c r="F3" s="13" t="str">
        <f aca="false">IF(E3="","Boshlanmagan",IF(E3&gt;=D3,"Tayyor","Jarayonda"))</f>
        <v>Boshlanmagan</v>
      </c>
    </row>
    <row r="4" customFormat="false" ht="15" hidden="false" customHeight="false" outlineLevel="0" collapsed="false">
      <c r="A4" s="11" t="s">
        <v>73</v>
      </c>
      <c r="B4" s="20" t="s">
        <v>69</v>
      </c>
      <c r="C4" s="10" t="n">
        <f aca="false">COUNTIF(Darslar!$E$2:$E$37,A4)</f>
        <v>1</v>
      </c>
      <c r="D4" s="10" t="n">
        <v>60</v>
      </c>
      <c r="E4" s="19"/>
      <c r="F4" s="13" t="str">
        <f aca="false">IF(E4="","Boshlanmagan",IF(E4&gt;=D4,"Tayyor","Jarayonda"))</f>
        <v>Boshlanmagan</v>
      </c>
    </row>
    <row r="5" customFormat="false" ht="15" hidden="false" customHeight="false" outlineLevel="0" collapsed="false">
      <c r="A5" s="11" t="s">
        <v>77</v>
      </c>
      <c r="B5" s="21" t="s">
        <v>78</v>
      </c>
      <c r="C5" s="10" t="n">
        <f aca="false">COUNTIF(Darslar!$E$2:$E$37,A5)</f>
        <v>1</v>
      </c>
      <c r="D5" s="10" t="n">
        <v>50</v>
      </c>
      <c r="E5" s="19"/>
      <c r="F5" s="13" t="str">
        <f aca="false">IF(E5="","Boshlanmagan",IF(E5&gt;=D5,"Tayyor","Jarayonda"))</f>
        <v>Boshlanmagan</v>
      </c>
    </row>
    <row r="6" customFormat="false" ht="15" hidden="false" customHeight="false" outlineLevel="0" collapsed="false">
      <c r="A6" s="11" t="s">
        <v>82</v>
      </c>
      <c r="B6" s="20" t="s">
        <v>69</v>
      </c>
      <c r="C6" s="10" t="n">
        <f aca="false">COUNTIF(Darslar!$E$2:$E$37,A6)</f>
        <v>1</v>
      </c>
      <c r="D6" s="10" t="n">
        <v>60</v>
      </c>
      <c r="E6" s="19"/>
      <c r="F6" s="13" t="str">
        <f aca="false">IF(E6="","Boshlanmagan",IF(E6&gt;=D6,"Tayyor","Jarayonda"))</f>
        <v>Boshlanmagan</v>
      </c>
    </row>
    <row r="7" customFormat="false" ht="15" hidden="false" customHeight="false" outlineLevel="0" collapsed="false">
      <c r="A7" s="11" t="s">
        <v>86</v>
      </c>
      <c r="B7" s="20" t="s">
        <v>69</v>
      </c>
      <c r="C7" s="10" t="n">
        <f aca="false">COUNTIF(Darslar!$E$2:$E$37,A7)</f>
        <v>1</v>
      </c>
      <c r="D7" s="10" t="n">
        <v>60</v>
      </c>
      <c r="E7" s="19"/>
      <c r="F7" s="13" t="str">
        <f aca="false">IF(E7="","Boshlanmagan",IF(E7&gt;=D7,"Tayyor","Jarayonda"))</f>
        <v>Boshlanmagan</v>
      </c>
    </row>
    <row r="8" customFormat="false" ht="15" hidden="false" customHeight="false" outlineLevel="0" collapsed="false">
      <c r="A8" s="11" t="s">
        <v>90</v>
      </c>
      <c r="B8" s="22" t="s">
        <v>91</v>
      </c>
      <c r="C8" s="10" t="n">
        <f aca="false">COUNTIF(Darslar!$E$2:$E$37,A8)</f>
        <v>1</v>
      </c>
      <c r="D8" s="10" t="n">
        <v>40</v>
      </c>
      <c r="E8" s="19"/>
      <c r="F8" s="13" t="str">
        <f aca="false">IF(E8="","Boshlanmagan",IF(E8&gt;=D8,"Tayyor","Jarayonda"))</f>
        <v>Boshlanmagan</v>
      </c>
    </row>
    <row r="9" customFormat="false" ht="15" hidden="false" customHeight="false" outlineLevel="0" collapsed="false">
      <c r="A9" s="11" t="s">
        <v>95</v>
      </c>
      <c r="B9" s="23" t="s">
        <v>96</v>
      </c>
      <c r="C9" s="10" t="n">
        <f aca="false">COUNTIF(Darslar!$E$2:$E$37,A9)</f>
        <v>1</v>
      </c>
      <c r="D9" s="10" t="n">
        <v>30</v>
      </c>
      <c r="E9" s="19"/>
      <c r="F9" s="13" t="str">
        <f aca="false">IF(E9="","Boshlanmagan",IF(E9&gt;=D9,"Tayyor","Jarayonda"))</f>
        <v>Boshlanmagan</v>
      </c>
    </row>
    <row r="10" customFormat="false" ht="15" hidden="false" customHeight="false" outlineLevel="0" collapsed="false">
      <c r="A10" s="11" t="s">
        <v>102</v>
      </c>
      <c r="B10" s="23" t="s">
        <v>96</v>
      </c>
      <c r="C10" s="10" t="n">
        <f aca="false">COUNTIF(Darslar!$E$2:$E$37,A10)</f>
        <v>1</v>
      </c>
      <c r="D10" s="10" t="n">
        <v>30</v>
      </c>
      <c r="E10" s="19"/>
      <c r="F10" s="13" t="str">
        <f aca="false">IF(E10="","Boshlanmagan",IF(E10&gt;=D10,"Tayyor","Jarayonda"))</f>
        <v>Boshlanmagan</v>
      </c>
    </row>
    <row r="11" customFormat="false" ht="15" hidden="false" customHeight="false" outlineLevel="0" collapsed="false">
      <c r="A11" s="11" t="s">
        <v>108</v>
      </c>
      <c r="B11" s="20" t="s">
        <v>69</v>
      </c>
      <c r="C11" s="10" t="n">
        <f aca="false">COUNTIF(Darslar!$E$2:$E$37,A11)</f>
        <v>1</v>
      </c>
      <c r="D11" s="10" t="n">
        <v>60</v>
      </c>
      <c r="E11" s="19"/>
      <c r="F11" s="13" t="str">
        <f aca="false">IF(E11="","Boshlanmagan",IF(E11&gt;=D11,"Tayyor","Jarayonda"))</f>
        <v>Boshlanmagan</v>
      </c>
    </row>
    <row r="12" customFormat="false" ht="15" hidden="false" customHeight="false" outlineLevel="0" collapsed="false">
      <c r="A12" s="11" t="s">
        <v>112</v>
      </c>
      <c r="B12" s="20" t="s">
        <v>69</v>
      </c>
      <c r="C12" s="10" t="n">
        <f aca="false">COUNTIF(Darslar!$E$2:$E$37,A12)</f>
        <v>1</v>
      </c>
      <c r="D12" s="10" t="n">
        <v>60</v>
      </c>
      <c r="E12" s="19"/>
      <c r="F12" s="13" t="str">
        <f aca="false">IF(E12="","Boshlanmagan",IF(E12&gt;=D12,"Tayyor","Jarayonda"))</f>
        <v>Boshlanmagan</v>
      </c>
    </row>
    <row r="13" customFormat="false" ht="15" hidden="false" customHeight="false" outlineLevel="0" collapsed="false">
      <c r="A13" s="11" t="s">
        <v>116</v>
      </c>
      <c r="B13" s="20" t="s">
        <v>69</v>
      </c>
      <c r="C13" s="10" t="n">
        <f aca="false">COUNTIF(Darslar!$E$2:$E$37,A13)</f>
        <v>1</v>
      </c>
      <c r="D13" s="10" t="n">
        <v>60</v>
      </c>
      <c r="E13" s="19"/>
      <c r="F13" s="13" t="str">
        <f aca="false">IF(E13="","Boshlanmagan",IF(E13&gt;=D13,"Tayyor","Jarayonda"))</f>
        <v>Boshlanmagan</v>
      </c>
    </row>
    <row r="14" customFormat="false" ht="15" hidden="false" customHeight="false" outlineLevel="0" collapsed="false">
      <c r="A14" s="11" t="s">
        <v>120</v>
      </c>
      <c r="B14" s="20" t="s">
        <v>69</v>
      </c>
      <c r="C14" s="10" t="n">
        <f aca="false">COUNTIF(Darslar!$E$2:$E$37,A14)</f>
        <v>1</v>
      </c>
      <c r="D14" s="10" t="n">
        <v>60</v>
      </c>
      <c r="E14" s="19"/>
      <c r="F14" s="13" t="str">
        <f aca="false">IF(E14="","Boshlanmagan",IF(E14&gt;=D14,"Tayyor","Jarayonda"))</f>
        <v>Boshlanmagan</v>
      </c>
    </row>
    <row r="15" customFormat="false" ht="15" hidden="false" customHeight="false" outlineLevel="0" collapsed="false">
      <c r="A15" s="11" t="s">
        <v>124</v>
      </c>
      <c r="B15" s="20" t="s">
        <v>69</v>
      </c>
      <c r="C15" s="10" t="n">
        <f aca="false">COUNTIF(Darslar!$E$2:$E$37,A15)</f>
        <v>1</v>
      </c>
      <c r="D15" s="10" t="n">
        <v>60</v>
      </c>
      <c r="E15" s="19"/>
      <c r="F15" s="13" t="str">
        <f aca="false">IF(E15="","Boshlanmagan",IF(E15&gt;=D15,"Tayyor","Jarayonda"))</f>
        <v>Boshlanmagan</v>
      </c>
    </row>
    <row r="16" customFormat="false" ht="15" hidden="false" customHeight="false" outlineLevel="0" collapsed="false">
      <c r="A16" s="11" t="s">
        <v>128</v>
      </c>
      <c r="B16" s="21" t="s">
        <v>78</v>
      </c>
      <c r="C16" s="10" t="n">
        <f aca="false">COUNTIF(Darslar!$E$2:$E$37,A16)</f>
        <v>1</v>
      </c>
      <c r="D16" s="10" t="n">
        <v>50</v>
      </c>
      <c r="E16" s="19"/>
      <c r="F16" s="13" t="str">
        <f aca="false">IF(E16="","Boshlanmagan",IF(E16&gt;=D16,"Tayyor","Jarayonda"))</f>
        <v>Boshlanmagan</v>
      </c>
    </row>
    <row r="17" customFormat="false" ht="15" hidden="false" customHeight="false" outlineLevel="0" collapsed="false">
      <c r="A17" s="11" t="s">
        <v>132</v>
      </c>
      <c r="B17" s="22" t="s">
        <v>91</v>
      </c>
      <c r="C17" s="10" t="n">
        <f aca="false">COUNTIF(Darslar!$E$2:$E$37,A17)</f>
        <v>1</v>
      </c>
      <c r="D17" s="10" t="n">
        <v>40</v>
      </c>
      <c r="E17" s="19"/>
      <c r="F17" s="13" t="str">
        <f aca="false">IF(E17="","Boshlanmagan",IF(E17&gt;=D17,"Tayyor","Jarayonda"))</f>
        <v>Boshlanmagan</v>
      </c>
    </row>
    <row r="18" customFormat="false" ht="15" hidden="false" customHeight="false" outlineLevel="0" collapsed="false">
      <c r="A18" s="11" t="s">
        <v>136</v>
      </c>
      <c r="B18" s="23" t="s">
        <v>96</v>
      </c>
      <c r="C18" s="10" t="n">
        <f aca="false">COUNTIF(Darslar!$E$2:$E$37,A18)</f>
        <v>1</v>
      </c>
      <c r="D18" s="10" t="n">
        <v>30</v>
      </c>
      <c r="E18" s="19"/>
      <c r="F18" s="13" t="str">
        <f aca="false">IF(E18="","Boshlanmagan",IF(E18&gt;=D18,"Tayyor","Jarayonda"))</f>
        <v>Boshlanmagan</v>
      </c>
    </row>
    <row r="19" customFormat="false" ht="15" hidden="false" customHeight="false" outlineLevel="0" collapsed="false">
      <c r="A19" s="11" t="s">
        <v>140</v>
      </c>
      <c r="B19" s="20" t="s">
        <v>69</v>
      </c>
      <c r="C19" s="10" t="n">
        <f aca="false">COUNTIF(Darslar!$E$2:$E$37,A19)</f>
        <v>1</v>
      </c>
      <c r="D19" s="10" t="n">
        <v>60</v>
      </c>
      <c r="E19" s="19"/>
      <c r="F19" s="13" t="str">
        <f aca="false">IF(E19="","Boshlanmagan",IF(E19&gt;=D19,"Tayyor","Jarayonda"))</f>
        <v>Boshlanmagan</v>
      </c>
    </row>
    <row r="20" customFormat="false" ht="15" hidden="false" customHeight="false" outlineLevel="0" collapsed="false">
      <c r="A20" s="11" t="s">
        <v>144</v>
      </c>
      <c r="B20" s="20" t="s">
        <v>69</v>
      </c>
      <c r="C20" s="10" t="n">
        <f aca="false">COUNTIF(Darslar!$E$2:$E$37,A20)</f>
        <v>1</v>
      </c>
      <c r="D20" s="10" t="n">
        <v>60</v>
      </c>
      <c r="E20" s="19"/>
      <c r="F20" s="13" t="str">
        <f aca="false">IF(E20="","Boshlanmagan",IF(E20&gt;=D20,"Tayyor","Jarayonda"))</f>
        <v>Boshlanmagan</v>
      </c>
    </row>
    <row r="21" customFormat="false" ht="15" hidden="false" customHeight="false" outlineLevel="0" collapsed="false">
      <c r="A21" s="11" t="s">
        <v>148</v>
      </c>
      <c r="B21" s="20" t="s">
        <v>69</v>
      </c>
      <c r="C21" s="10" t="n">
        <f aca="false">COUNTIF(Darslar!$E$2:$E$37,A21)</f>
        <v>1</v>
      </c>
      <c r="D21" s="10" t="n">
        <v>60</v>
      </c>
      <c r="E21" s="19"/>
      <c r="F21" s="13" t="str">
        <f aca="false">IF(E21="","Boshlanmagan",IF(E21&gt;=D21,"Tayyor","Jarayonda"))</f>
        <v>Boshlanmagan</v>
      </c>
    </row>
    <row r="22" customFormat="false" ht="15" hidden="false" customHeight="false" outlineLevel="0" collapsed="false">
      <c r="A22" s="11" t="s">
        <v>152</v>
      </c>
      <c r="B22" s="21" t="s">
        <v>78</v>
      </c>
      <c r="C22" s="10" t="n">
        <f aca="false">COUNTIF(Darslar!$E$2:$E$37,A22)</f>
        <v>1</v>
      </c>
      <c r="D22" s="10" t="n">
        <v>50</v>
      </c>
      <c r="E22" s="19"/>
      <c r="F22" s="13" t="str">
        <f aca="false">IF(E22="","Boshlanmagan",IF(E22&gt;=D22,"Tayyor","Jarayonda"))</f>
        <v>Boshlanmagan</v>
      </c>
    </row>
    <row r="23" customFormat="false" ht="15" hidden="false" customHeight="false" outlineLevel="0" collapsed="false">
      <c r="A23" s="11" t="s">
        <v>156</v>
      </c>
      <c r="B23" s="20" t="s">
        <v>69</v>
      </c>
      <c r="C23" s="10" t="n">
        <f aca="false">COUNTIF(Darslar!$E$2:$E$37,A23)</f>
        <v>1</v>
      </c>
      <c r="D23" s="10" t="n">
        <v>60</v>
      </c>
      <c r="E23" s="19"/>
      <c r="F23" s="13" t="str">
        <f aca="false">IF(E23="","Boshlanmagan",IF(E23&gt;=D23,"Tayyor","Jarayonda"))</f>
        <v>Boshlanmagan</v>
      </c>
    </row>
    <row r="24" customFormat="false" ht="15" hidden="false" customHeight="false" outlineLevel="0" collapsed="false">
      <c r="A24" s="11" t="s">
        <v>160</v>
      </c>
      <c r="B24" s="22" t="s">
        <v>91</v>
      </c>
      <c r="C24" s="10" t="n">
        <f aca="false">COUNTIF(Darslar!$E$2:$E$37,A24)</f>
        <v>1</v>
      </c>
      <c r="D24" s="10" t="n">
        <v>40</v>
      </c>
      <c r="E24" s="19"/>
      <c r="F24" s="13" t="str">
        <f aca="false">IF(E24="","Boshlanmagan",IF(E24&gt;=D24,"Tayyor","Jarayonda"))</f>
        <v>Boshlanmagan</v>
      </c>
    </row>
    <row r="25" customFormat="false" ht="15" hidden="false" customHeight="false" outlineLevel="0" collapsed="false">
      <c r="A25" s="11" t="s">
        <v>164</v>
      </c>
      <c r="B25" s="23" t="s">
        <v>96</v>
      </c>
      <c r="C25" s="10" t="n">
        <f aca="false">COUNTIF(Darslar!$E$2:$E$37,A25)</f>
        <v>1</v>
      </c>
      <c r="D25" s="10" t="n">
        <v>30</v>
      </c>
      <c r="E25" s="19"/>
      <c r="F25" s="13" t="str">
        <f aca="false">IF(E25="","Boshlanmagan",IF(E25&gt;=D25,"Tayyor","Jarayonda"))</f>
        <v>Boshlanmagan</v>
      </c>
    </row>
    <row r="26" customFormat="false" ht="15" hidden="false" customHeight="false" outlineLevel="0" collapsed="false">
      <c r="A26" s="11" t="s">
        <v>168</v>
      </c>
      <c r="B26" s="23" t="s">
        <v>96</v>
      </c>
      <c r="C26" s="10" t="n">
        <f aca="false">COUNTIF(Darslar!$E$2:$E$37,A26)</f>
        <v>1</v>
      </c>
      <c r="D26" s="10" t="n">
        <v>30</v>
      </c>
      <c r="E26" s="19"/>
      <c r="F26" s="13" t="str">
        <f aca="false">IF(E26="","Boshlanmagan",IF(E26&gt;=D26,"Tayyor","Jarayonda"))</f>
        <v>Boshlanmagan</v>
      </c>
    </row>
    <row r="27" customFormat="false" ht="15" hidden="false" customHeight="false" outlineLevel="0" collapsed="false">
      <c r="A27" s="11" t="s">
        <v>172</v>
      </c>
      <c r="B27" s="20" t="s">
        <v>69</v>
      </c>
      <c r="C27" s="10" t="n">
        <f aca="false">COUNTIF(Darslar!$E$2:$E$37,A27)</f>
        <v>1</v>
      </c>
      <c r="D27" s="10" t="n">
        <v>60</v>
      </c>
      <c r="E27" s="19"/>
      <c r="F27" s="13" t="str">
        <f aca="false">IF(E27="","Boshlanmagan",IF(E27&gt;=D27,"Tayyor","Jarayonda"))</f>
        <v>Boshlanmagan</v>
      </c>
    </row>
    <row r="28" customFormat="false" ht="15" hidden="false" customHeight="false" outlineLevel="0" collapsed="false">
      <c r="A28" s="11" t="s">
        <v>176</v>
      </c>
      <c r="B28" s="20" t="s">
        <v>69</v>
      </c>
      <c r="C28" s="10" t="n">
        <f aca="false">COUNTIF(Darslar!$E$2:$E$37,A28)</f>
        <v>1</v>
      </c>
      <c r="D28" s="10" t="n">
        <v>60</v>
      </c>
      <c r="E28" s="19"/>
      <c r="F28" s="13" t="str">
        <f aca="false">IF(E28="","Boshlanmagan",IF(E28&gt;=D28,"Tayyor","Jarayonda"))</f>
        <v>Boshlanmagan</v>
      </c>
    </row>
    <row r="29" customFormat="false" ht="15" hidden="false" customHeight="false" outlineLevel="0" collapsed="false">
      <c r="A29" s="11" t="s">
        <v>180</v>
      </c>
      <c r="B29" s="20" t="s">
        <v>69</v>
      </c>
      <c r="C29" s="10" t="n">
        <f aca="false">COUNTIF(Darslar!$E$2:$E$37,A29)</f>
        <v>1</v>
      </c>
      <c r="D29" s="10" t="n">
        <v>60</v>
      </c>
      <c r="E29" s="19"/>
      <c r="F29" s="13" t="str">
        <f aca="false">IF(E29="","Boshlanmagan",IF(E29&gt;=D29,"Tayyor","Jarayonda"))</f>
        <v>Boshlanmagan</v>
      </c>
    </row>
    <row r="30" customFormat="false" ht="15" hidden="false" customHeight="false" outlineLevel="0" collapsed="false">
      <c r="A30" s="11" t="s">
        <v>184</v>
      </c>
      <c r="B30" s="20" t="s">
        <v>69</v>
      </c>
      <c r="C30" s="10" t="n">
        <f aca="false">COUNTIF(Darslar!$E$2:$E$37,A30)</f>
        <v>1</v>
      </c>
      <c r="D30" s="10" t="n">
        <v>60</v>
      </c>
      <c r="E30" s="19"/>
      <c r="F30" s="13" t="str">
        <f aca="false">IF(E30="","Boshlanmagan",IF(E30&gt;=D30,"Tayyor","Jarayonda"))</f>
        <v>Boshlanmagan</v>
      </c>
    </row>
    <row r="31" customFormat="false" ht="15" hidden="false" customHeight="false" outlineLevel="0" collapsed="false">
      <c r="A31" s="11" t="s">
        <v>188</v>
      </c>
      <c r="B31" s="21" t="s">
        <v>78</v>
      </c>
      <c r="C31" s="10" t="n">
        <f aca="false">COUNTIF(Darslar!$E$2:$E$37,A31)</f>
        <v>1</v>
      </c>
      <c r="D31" s="10" t="n">
        <v>50</v>
      </c>
      <c r="E31" s="19"/>
      <c r="F31" s="13" t="str">
        <f aca="false">IF(E31="","Boshlanmagan",IF(E31&gt;=D31,"Tayyor","Jarayonda"))</f>
        <v>Boshlanmagan</v>
      </c>
    </row>
    <row r="32" customFormat="false" ht="15" hidden="false" customHeight="false" outlineLevel="0" collapsed="false">
      <c r="A32" s="11" t="s">
        <v>192</v>
      </c>
      <c r="B32" s="20" t="s">
        <v>69</v>
      </c>
      <c r="C32" s="10" t="n">
        <f aca="false">COUNTIF(Darslar!$E$2:$E$37,A32)</f>
        <v>1</v>
      </c>
      <c r="D32" s="10" t="n">
        <v>60</v>
      </c>
      <c r="E32" s="19"/>
      <c r="F32" s="13" t="str">
        <f aca="false">IF(E32="","Boshlanmagan",IF(E32&gt;=D32,"Tayyor","Jarayonda"))</f>
        <v>Boshlanmagan</v>
      </c>
    </row>
    <row r="33" customFormat="false" ht="15" hidden="false" customHeight="false" outlineLevel="0" collapsed="false">
      <c r="A33" s="11" t="s">
        <v>196</v>
      </c>
      <c r="B33" s="23" t="s">
        <v>96</v>
      </c>
      <c r="C33" s="10" t="n">
        <f aca="false">COUNTIF(Darslar!$E$2:$E$37,A33)</f>
        <v>1</v>
      </c>
      <c r="D33" s="10" t="n">
        <v>30</v>
      </c>
      <c r="E33" s="19"/>
      <c r="F33" s="13" t="str">
        <f aca="false">IF(E33="","Boshlanmagan",IF(E33&gt;=D33,"Tayyor","Jarayonda"))</f>
        <v>Boshlanmagan</v>
      </c>
    </row>
    <row r="34" customFormat="false" ht="15" hidden="false" customHeight="false" outlineLevel="0" collapsed="false">
      <c r="A34" s="11" t="s">
        <v>200</v>
      </c>
      <c r="B34" s="18" t="s">
        <v>56</v>
      </c>
      <c r="C34" s="10" t="n">
        <f aca="false">COUNTIF(Darslar!$E$2:$E$37,A34)</f>
        <v>3</v>
      </c>
      <c r="D34" s="10" t="n">
        <v>180</v>
      </c>
      <c r="E34" s="19"/>
      <c r="F34" s="13" t="str">
        <f aca="false">IF(E34="","Boshlanmagan",IF(E34&gt;=D34,"Tayyor","Jarayonda"))</f>
        <v>Boshlanmagan</v>
      </c>
    </row>
    <row r="35" customFormat="false" ht="15" hidden="false" customHeight="false" outlineLevel="0" collapsed="false">
      <c r="A35" s="24" t="s">
        <v>42</v>
      </c>
      <c r="B35" s="24"/>
      <c r="C35" s="25" t="n">
        <f aca="false">SUM(C2:C34)</f>
        <v>36</v>
      </c>
      <c r="D35" s="25" t="n">
        <f aca="false">SUM(D2:D34)</f>
        <v>1800</v>
      </c>
      <c r="E35" s="25" t="n">
        <f aca="false">SUM(E2:E34)</f>
        <v>0</v>
      </c>
      <c r="F35" s="24"/>
    </row>
    <row r="36" customFormat="false" ht="42" hidden="false" customHeight="true" outlineLevel="0" collapsed="false">
      <c r="A36" s="26" t="s">
        <v>214</v>
      </c>
      <c r="B36" s="26"/>
      <c r="C36" s="26"/>
      <c r="D36" s="26"/>
      <c r="E36" s="26"/>
      <c r="F36" s="26"/>
    </row>
  </sheetData>
  <mergeCells count="1"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8" hidden="false" customHeight="true" outlineLevel="0" collapsed="false">
      <c r="B1" s="27" t="s">
        <v>215</v>
      </c>
    </row>
    <row r="2" customFormat="false" ht="18" hidden="false" customHeight="true" outlineLevel="0" collapsed="false">
      <c r="B2" s="28" t="s">
        <v>216</v>
      </c>
    </row>
    <row r="3" customFormat="false" ht="18" hidden="false" customHeight="true" outlineLevel="0" collapsed="false">
      <c r="B3" s="28" t="s">
        <v>217</v>
      </c>
    </row>
    <row r="4" customFormat="false" ht="30" hidden="false" customHeight="true" outlineLevel="0" collapsed="false">
      <c r="B4" s="28" t="s">
        <v>218</v>
      </c>
    </row>
    <row r="5" customFormat="false" ht="30" hidden="false" customHeight="true" outlineLevel="0" collapsed="false">
      <c r="B5" s="28" t="s">
        <v>219</v>
      </c>
    </row>
    <row r="6" customFormat="false" ht="30" hidden="false" customHeight="true" outlineLevel="0" collapsed="false">
      <c r="B6" s="28" t="s">
        <v>220</v>
      </c>
    </row>
    <row r="7" customFormat="false" ht="30" hidden="false" customHeight="true" outlineLevel="0" collapsed="false">
      <c r="B7" s="28" t="s">
        <v>221</v>
      </c>
    </row>
    <row r="8" customFormat="false" ht="30" hidden="false" customHeight="true" outlineLevel="0" collapsed="false">
      <c r="B8" s="28" t="s">
        <v>222</v>
      </c>
    </row>
    <row r="9" customFormat="false" ht="30" hidden="false" customHeight="true" outlineLevel="0" collapsed="false">
      <c r="B9" s="28" t="s">
        <v>223</v>
      </c>
    </row>
    <row r="10" customFormat="false" ht="18" hidden="false" customHeight="true" outlineLevel="0" collapsed="false">
      <c r="B10" s="27" t="s">
        <v>224</v>
      </c>
    </row>
    <row r="11" customFormat="false" ht="30" hidden="false" customHeight="true" outlineLevel="0" collapsed="false">
      <c r="B11" s="28" t="s">
        <v>225</v>
      </c>
    </row>
    <row r="12" customFormat="false" ht="30" hidden="false" customHeight="true" outlineLevel="0" collapsed="false">
      <c r="B12" s="28" t="s">
        <v>226</v>
      </c>
    </row>
    <row r="13" customFormat="false" ht="30" hidden="false" customHeight="true" outlineLevel="0" collapsed="false">
      <c r="B13" s="28" t="s">
        <v>227</v>
      </c>
    </row>
    <row r="14" customFormat="false" ht="30" hidden="false" customHeight="true" outlineLevel="0" collapsed="false">
      <c r="B14" s="28" t="s">
        <v>228</v>
      </c>
    </row>
    <row r="15" customFormat="false" ht="18" hidden="false" customHeight="true" outlineLevel="0" collapsed="false">
      <c r="B15" s="28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2026-10-03T02:35:41Z</dcterms:created>
  <dc:creator>openpyxl</dc:creator>
  <dc:description/>
  <dc:language>en-US</dc:language>
  <cp:lastModifiedBy/>
  <dcterms:modified xsi:type="dcterms:W3CDTF">2026-10-03T02:35:41Z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